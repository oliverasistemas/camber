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166925"/>
  <mc:AlternateContent xmlns:mc="http://schemas.openxmlformats.org/markup-compatibility/2006">
    <mc:Choice Requires="x15">
      <x15ac:absPath xmlns:x15ac="http://schemas.microsoft.com/office/spreadsheetml/2010/11/ac" url="/Users/bradmoore/Desktop/"/>
    </mc:Choice>
  </mc:AlternateContent>
  <xr:revisionPtr revIDLastSave="0" documentId="13_ncr:1_{232FCC9B-EC53-454E-9E75-3F735AAA0C00}" xr6:coauthVersionLast="47" xr6:coauthVersionMax="47" xr10:uidLastSave="{00000000-0000-0000-0000-000000000000}"/>
  <bookViews>
    <workbookView xWindow="-24040" yWindow="-21000" windowWidth="38400" windowHeight="21000" tabRatio="865" xr2:uid="{000BDCBF-639A-4D2F-A876-0F406ED92F56}"/>
  </bookViews>
  <sheets>
    <sheet name="R0203" sheetId="3" r:id="rId1"/>
    <sheet name="R0304A" sheetId="36" r:id="rId2"/>
    <sheet name="R0304B" sheetId="37" r:id="rId3"/>
    <sheet name="R0404A" sheetId="4" r:id="rId4"/>
    <sheet name="R0406" sheetId="9" r:id="rId5"/>
    <sheet name="R0607" sheetId="11" r:id="rId6"/>
    <sheet name="R0609" sheetId="39" r:id="rId7"/>
    <sheet name="R0901A" sheetId="12" r:id="rId8"/>
    <sheet name="R0904" sheetId="43" r:id="rId9"/>
    <sheet name="Transaction History_new" sheetId="29" r:id="rId10"/>
    <sheet name="Contract Summary" sheetId="15" r:id="rId11"/>
    <sheet name="Asset Summary" sheetId="34" r:id="rId12"/>
    <sheet name="Bank Codes" sheetId="42" r:id="rId13"/>
    <sheet name="Accrual Method" sheetId="17" r:id="rId14"/>
    <sheet name="Tran Code" sheetId="20" r:id="rId15"/>
    <sheet name="GL Codes_Vectors" sheetId="21" r:id="rId16"/>
    <sheet name="Status (LS Status)" sheetId="18" r:id="rId17"/>
    <sheet name="LS Type" sheetId="19" r:id="rId18"/>
    <sheet name="Coll Code" sheetId="22" r:id="rId19"/>
    <sheet name="Late Code" sheetId="27" r:id="rId20"/>
    <sheet name="Use Tax Code" sheetId="25" r:id="rId21"/>
    <sheet name="LS Source" sheetId="24" r:id="rId22"/>
    <sheet name="Asset Status" sheetId="45" r:id="rId23"/>
    <sheet name="Payoff Code" sheetId="44" r:id="rId24"/>
    <sheet name="Repo Code" sheetId="46" r:id="rId25"/>
  </sheets>
  <definedNames>
    <definedName name="_xlnm._FilterDatabase" localSheetId="15" hidden="1">'GL Codes_Vectors'!#REF!</definedName>
    <definedName name="_xlnm._FilterDatabase" localSheetId="24" hidden="1">'Repo Code'!$A$1:$B$27</definedName>
    <definedName name="_xlnm._FilterDatabase" localSheetId="14" hidden="1">'Tran Code'!$A$1:$C$485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5" i="21" l="1"/>
  <c r="B160" i="21"/>
  <c r="B159" i="21"/>
  <c r="B158" i="21"/>
  <c r="B74" i="21"/>
  <c r="B75" i="21"/>
  <c r="B73" i="21"/>
  <c r="B72" i="21"/>
  <c r="B71" i="21"/>
  <c r="B69" i="21"/>
  <c r="B35" i="21"/>
  <c r="B100" i="21"/>
  <c r="B113" i="21" l="1"/>
  <c r="B112" i="21"/>
  <c r="B110" i="21"/>
  <c r="B111" i="21"/>
  <c r="B147" i="21"/>
  <c r="B148" i="21"/>
  <c r="B149" i="21"/>
  <c r="B150" i="21"/>
  <c r="B151" i="21"/>
  <c r="B152" i="21"/>
  <c r="B153" i="21"/>
  <c r="B154" i="21"/>
  <c r="B155" i="21"/>
  <c r="B156" i="21"/>
  <c r="B157" i="21"/>
  <c r="B146" i="21"/>
  <c r="B134" i="21"/>
  <c r="B135" i="21"/>
  <c r="B136" i="21"/>
  <c r="B137" i="21"/>
  <c r="B138" i="21"/>
  <c r="B139" i="21"/>
  <c r="B140" i="21"/>
  <c r="B141" i="21"/>
  <c r="B142" i="21"/>
  <c r="B143" i="21"/>
  <c r="B144" i="21"/>
  <c r="B145" i="21"/>
  <c r="B68" i="21"/>
  <c r="B70" i="21"/>
  <c r="B99" i="21"/>
  <c r="B171" i="21"/>
  <c r="B170" i="21"/>
  <c r="B169" i="21"/>
  <c r="B168" i="21"/>
  <c r="B167" i="21"/>
  <c r="B166" i="21"/>
  <c r="B165" i="21"/>
  <c r="B164" i="21"/>
  <c r="B163" i="21"/>
  <c r="B162" i="21"/>
  <c r="B161" i="21"/>
  <c r="B174" i="21"/>
  <c r="B173" i="21"/>
  <c r="B172" i="21"/>
  <c r="B115" i="21"/>
  <c r="B116" i="21"/>
  <c r="B117" i="21"/>
  <c r="B118" i="21"/>
  <c r="B119" i="21"/>
  <c r="B120" i="21"/>
  <c r="B121" i="21"/>
  <c r="B122" i="21"/>
  <c r="B123" i="21"/>
  <c r="B124" i="21"/>
  <c r="B125" i="21"/>
  <c r="B126" i="21"/>
  <c r="B127" i="21"/>
  <c r="B128" i="21"/>
  <c r="B129" i="21"/>
  <c r="B130" i="21"/>
  <c r="B131" i="21"/>
  <c r="B132" i="21"/>
  <c r="B133" i="21"/>
  <c r="B114" i="21"/>
  <c r="B102" i="21"/>
  <c r="B103" i="21"/>
  <c r="B104" i="21"/>
  <c r="B105" i="21"/>
  <c r="B106" i="21"/>
  <c r="B107" i="21"/>
  <c r="B108" i="21"/>
  <c r="B109" i="21"/>
  <c r="B101" i="21"/>
  <c r="B97" i="21"/>
  <c r="B98" i="21"/>
  <c r="B96" i="21"/>
  <c r="B77" i="21"/>
  <c r="B78" i="21"/>
  <c r="B79" i="21"/>
  <c r="B80" i="21"/>
  <c r="B81" i="21"/>
  <c r="B82" i="21"/>
  <c r="B83" i="21"/>
  <c r="B84" i="21"/>
  <c r="B85" i="21"/>
  <c r="B86" i="21"/>
  <c r="B87" i="21"/>
  <c r="B88" i="21"/>
  <c r="B89" i="21"/>
  <c r="B90" i="21"/>
  <c r="B91" i="21"/>
  <c r="B92" i="21"/>
  <c r="B93" i="21"/>
  <c r="B94" i="21"/>
  <c r="B95" i="21"/>
  <c r="B76" i="21"/>
  <c r="B51" i="21"/>
  <c r="B52" i="21"/>
  <c r="B53" i="21"/>
  <c r="B54" i="21"/>
  <c r="B55" i="21"/>
  <c r="B56" i="21"/>
  <c r="B57" i="21"/>
  <c r="B58" i="21"/>
  <c r="B59" i="21"/>
  <c r="B60" i="21"/>
  <c r="B61" i="21"/>
  <c r="B62" i="21"/>
  <c r="B63" i="21"/>
  <c r="B64" i="21"/>
  <c r="B65" i="21"/>
  <c r="B66" i="21"/>
  <c r="B67" i="21"/>
  <c r="B50" i="21"/>
  <c r="B46" i="21"/>
  <c r="B47" i="21"/>
  <c r="B48" i="21"/>
  <c r="B49" i="21"/>
  <c r="B13" i="21"/>
  <c r="B14" i="21"/>
  <c r="B15" i="21"/>
  <c r="B16" i="21"/>
  <c r="B17" i="21"/>
  <c r="B18" i="21"/>
  <c r="B19" i="21"/>
  <c r="B20" i="21"/>
  <c r="B21" i="21"/>
  <c r="B22" i="21"/>
  <c r="B23" i="21"/>
  <c r="B24" i="21"/>
  <c r="B25" i="21"/>
  <c r="B26" i="21"/>
  <c r="B27" i="21"/>
  <c r="B28" i="21"/>
  <c r="B29" i="21"/>
  <c r="B30" i="21"/>
  <c r="B31" i="21"/>
  <c r="B32" i="21"/>
  <c r="B33" i="21"/>
  <c r="B34" i="21"/>
  <c r="B36" i="21"/>
  <c r="B37" i="21"/>
  <c r="B38" i="21"/>
  <c r="B39" i="21"/>
  <c r="B40" i="21"/>
  <c r="B41" i="21"/>
  <c r="B42" i="21"/>
  <c r="B43" i="21"/>
  <c r="B44" i="21"/>
  <c r="B45" i="21"/>
  <c r="B12" i="21"/>
  <c r="B3" i="21"/>
  <c r="B4" i="21"/>
  <c r="B5" i="21"/>
  <c r="B6" i="21"/>
  <c r="B7" i="21"/>
  <c r="B8" i="21"/>
  <c r="B9" i="21"/>
  <c r="B10" i="21"/>
  <c r="B11" i="21"/>
  <c r="B2" i="21"/>
</calcChain>
</file>

<file path=xl/sharedStrings.xml><?xml version="1.0" encoding="utf-8"?>
<sst xmlns="http://schemas.openxmlformats.org/spreadsheetml/2006/main" count="3079" uniqueCount="2389">
  <si>
    <t>Suspense Review</t>
  </si>
  <si>
    <t>The initials of the operator who initially placed the item into suspense are displayed.</t>
  </si>
  <si>
    <t>The initials of the operator to whom the item was assigned for clearing are displayed, if applicable.</t>
  </si>
  <si>
    <t>Accounts Receivable Balancing</t>
  </si>
  <si>
    <t>SE</t>
  </si>
  <si>
    <t>LESSEE NAME</t>
  </si>
  <si>
    <t>Invoice Due Date</t>
  </si>
  <si>
    <t>Interest Adjustments</t>
  </si>
  <si>
    <t>Assessments Receivable Aging</t>
  </si>
  <si>
    <t>Suspended Income Accrued</t>
  </si>
  <si>
    <t>Trial Balance</t>
  </si>
  <si>
    <t>Status</t>
  </si>
  <si>
    <t>Security Deposit</t>
  </si>
  <si>
    <t>Current net book value of the lease</t>
  </si>
  <si>
    <t>Collection Status Code</t>
  </si>
  <si>
    <t>Statement Format (indiv. Invoice, Coupon, Consolidated bill, no invoice)</t>
  </si>
  <si>
    <t>PORT</t>
  </si>
  <si>
    <t>COMP</t>
  </si>
  <si>
    <t>REG</t>
  </si>
  <si>
    <t>OFF</t>
  </si>
  <si>
    <t>LEASE NO</t>
  </si>
  <si>
    <t>LESSEE NO</t>
  </si>
  <si>
    <t>LS STATUS</t>
  </si>
  <si>
    <t>LS STATUS DATE</t>
  </si>
  <si>
    <t>BOOK DATE</t>
  </si>
  <si>
    <t>LAST UPDATE</t>
  </si>
  <si>
    <t>LEASE DATE</t>
  </si>
  <si>
    <t>COMMENCE DATE</t>
  </si>
  <si>
    <t>MATURITY DATE</t>
  </si>
  <si>
    <t>ACCRUAL METHOD</t>
  </si>
  <si>
    <t>BUSINESS/PERSONAL</t>
  </si>
  <si>
    <t>LS TYPE</t>
  </si>
  <si>
    <t>LATE CODE</t>
  </si>
  <si>
    <t>OPEN/CLOSED</t>
  </si>
  <si>
    <t>LATE CHG(Y/N)</t>
  </si>
  <si>
    <t>GRACE DAYS</t>
  </si>
  <si>
    <t>LESSOR YIELD</t>
  </si>
  <si>
    <t>EARLY PAYOFF DISCOUNT RATE</t>
  </si>
  <si>
    <t>IRR</t>
  </si>
  <si>
    <t>IRR W/O RESIDUAL</t>
  </si>
  <si>
    <t>LESSEE STATE</t>
  </si>
  <si>
    <t>ORIG IDC</t>
  </si>
  <si>
    <t>ORIG UNEARNED</t>
  </si>
  <si>
    <t>TOT RESIDUAL</t>
  </si>
  <si>
    <t>UNGUAR RESI</t>
  </si>
  <si>
    <t>SECURITY D</t>
  </si>
  <si>
    <t>TERM</t>
  </si>
  <si>
    <t>CONTRACT RCVBL</t>
  </si>
  <si>
    <t>OUTSTANDING A/R</t>
  </si>
  <si>
    <t>DEF INC/DEF RES</t>
  </si>
  <si>
    <t>NET O/S A/R</t>
  </si>
  <si>
    <t>OTHER CHARGES</t>
  </si>
  <si>
    <t>1ST ASSET DESC</t>
  </si>
  <si>
    <t>GUAR RESID</t>
  </si>
  <si>
    <t>BROKER FEES</t>
  </si>
  <si>
    <t>PAP</t>
  </si>
  <si>
    <t>PAP EFF DATE</t>
  </si>
  <si>
    <t>DAL_PHONE1</t>
  </si>
  <si>
    <t>DAL_PHONE2</t>
  </si>
  <si>
    <t>DAL_ADDR1</t>
  </si>
  <si>
    <t>DAL_ADDR2</t>
  </si>
  <si>
    <t>DAL_CITY</t>
  </si>
  <si>
    <t>DAL_STATE</t>
  </si>
  <si>
    <t>DAL_ZIP</t>
  </si>
  <si>
    <t>STMT_CODE</t>
  </si>
  <si>
    <t>ACCRUED_TO_DATE</t>
  </si>
  <si>
    <t>LSOR_REMAIN_U/E</t>
  </si>
  <si>
    <t>LEASE INC REC</t>
  </si>
  <si>
    <t>SUSP INC ACCR</t>
  </si>
  <si>
    <t>UNEARNED_RESIDUAL</t>
  </si>
  <si>
    <t>NBV</t>
  </si>
  <si>
    <t>UNAMOR_IDC_BOOK</t>
  </si>
  <si>
    <t>ACCRUED_PRIN</t>
  </si>
  <si>
    <t>DEALER</t>
  </si>
  <si>
    <t>DLR_NAME</t>
  </si>
  <si>
    <t>EQUIP_LOCATION</t>
  </si>
  <si>
    <t>DAYS_DEL</t>
  </si>
  <si>
    <t>CURR_DELINQ</t>
  </si>
  <si>
    <t>#30_DEL</t>
  </si>
  <si>
    <t>#60_DEL</t>
  </si>
  <si>
    <t>#90_DEL</t>
  </si>
  <si>
    <t>#91+_DEL</t>
  </si>
  <si>
    <t>MARK_UP</t>
  </si>
  <si>
    <t>CURR_MO_RENTAL</t>
  </si>
  <si>
    <t>RESI_INCOME</t>
  </si>
  <si>
    <t>LESSOR_INCOME MTD</t>
  </si>
  <si>
    <t>CURR_MON_IDC_AMORT</t>
  </si>
  <si>
    <t>USE_TAX_CODE</t>
  </si>
  <si>
    <t>LS_SOURCE</t>
  </si>
  <si>
    <t>DOWN</t>
  </si>
  <si>
    <t>RESID_INCOME_YTD</t>
  </si>
  <si>
    <t>DAL_CONTACT</t>
  </si>
  <si>
    <t>ORIG_UE_RESID</t>
  </si>
  <si>
    <t>CURR_MON_IDC_BOOK</t>
  </si>
  <si>
    <t>UNEARNED_INCOME</t>
  </si>
  <si>
    <t>COLL_CODE</t>
  </si>
  <si>
    <t>COLL_DATE</t>
  </si>
  <si>
    <t>CLASS</t>
  </si>
  <si>
    <t>CURR_PYMT</t>
  </si>
  <si>
    <t>REMAINING RECEIVABLES</t>
  </si>
  <si>
    <t>REMAINING INTEREST</t>
  </si>
  <si>
    <t>PAST DUE RECEIVABLES</t>
  </si>
  <si>
    <t>BROKER</t>
  </si>
  <si>
    <t>BROKER NAME</t>
  </si>
  <si>
    <t>INVESTOR</t>
  </si>
  <si>
    <t>CONTR UDF 1</t>
  </si>
  <si>
    <t>CONTR UDF 2</t>
  </si>
  <si>
    <t>CONTR UDF 3</t>
  </si>
  <si>
    <t>CONTR UDF 4</t>
  </si>
  <si>
    <t>CONTR UDF 5</t>
  </si>
  <si>
    <t>CONTR UDF 6</t>
  </si>
  <si>
    <t>CONTR UDF 7</t>
  </si>
  <si>
    <t>CONTR UDF 8</t>
  </si>
  <si>
    <t>CONTR UDF 9</t>
  </si>
  <si>
    <t>CONTR UDF 10</t>
  </si>
  <si>
    <t>CONTR UDF 11</t>
  </si>
  <si>
    <t>CONTR UDF 12</t>
  </si>
  <si>
    <t>CONTR UDF 13</t>
  </si>
  <si>
    <t>CONTR UDF 14</t>
  </si>
  <si>
    <t>CONTR UDF 15</t>
  </si>
  <si>
    <t>CONTR UDF 16</t>
  </si>
  <si>
    <t>CONTR UDF 17</t>
  </si>
  <si>
    <t>CONTR UDF 18</t>
  </si>
  <si>
    <t>CONTR UDF 19</t>
  </si>
  <si>
    <t>CONTR UDF 20</t>
  </si>
  <si>
    <t>CONTR UDF 21</t>
  </si>
  <si>
    <t>CONTR UDF 22</t>
  </si>
  <si>
    <t>CONTR UDF 23</t>
  </si>
  <si>
    <t>CONTR UDF 24</t>
  </si>
  <si>
    <t>CONTR UDF 25</t>
  </si>
  <si>
    <t>CONTR UDF 26</t>
  </si>
  <si>
    <t>CONTR UDF 27</t>
  </si>
  <si>
    <t>CONTR UDF 28</t>
  </si>
  <si>
    <t>CONTR UDF 29</t>
  </si>
  <si>
    <t>CONTR UDF 30</t>
  </si>
  <si>
    <t>CONTR UDF 31</t>
  </si>
  <si>
    <t>CONTR UDF 32</t>
  </si>
  <si>
    <t>CONTR UDF 33</t>
  </si>
  <si>
    <t>CONTR UDF 34</t>
  </si>
  <si>
    <t>CONTR UDF 35</t>
  </si>
  <si>
    <t>CONTR UDF 36</t>
  </si>
  <si>
    <t>AS_OF_DATE</t>
  </si>
  <si>
    <t>PYMT_FREQ</t>
  </si>
  <si>
    <t>ORIG_FILING_FEES</t>
  </si>
  <si>
    <t>UNAMORT_FILING_FEES</t>
  </si>
  <si>
    <t>ORIG_DEALER_FEES</t>
  </si>
  <si>
    <t>UNAMORT_DEALER_FEES</t>
  </si>
  <si>
    <t>ASSET_BRAND</t>
  </si>
  <si>
    <t>PRIN_PD_LTD</t>
  </si>
  <si>
    <t>INT_RATE</t>
  </si>
  <si>
    <t>LEASED EQUIP</t>
  </si>
  <si>
    <t>ACCUM DEPR</t>
  </si>
  <si>
    <t>UNBILLED OPER REC</t>
  </si>
  <si>
    <t>DEF OPER LEASE REV</t>
  </si>
  <si>
    <t>UNBILLED OPER INC</t>
  </si>
  <si>
    <t>REG FEE</t>
  </si>
  <si>
    <t>DLR SUBSDY</t>
  </si>
  <si>
    <t>OPEN COMM</t>
  </si>
  <si>
    <t>Lessee Number</t>
  </si>
  <si>
    <t>Lease Status</t>
  </si>
  <si>
    <t>Date of last lease status change</t>
  </si>
  <si>
    <t>Contract Booking Date</t>
  </si>
  <si>
    <t>Date of last cash posting, reversal, etc.</t>
  </si>
  <si>
    <t>Date the original term is completed</t>
  </si>
  <si>
    <t>Accrual Method</t>
  </si>
  <si>
    <t>Identifies contract as business or personal</t>
  </si>
  <si>
    <t>Lease Type</t>
  </si>
  <si>
    <t>Late charge code</t>
  </si>
  <si>
    <t xml:space="preserve">Indication of end of term conditions </t>
  </si>
  <si>
    <t>Late Charge Assessment, yes or no</t>
  </si>
  <si>
    <t>Discount rate for Early Payoff (NPV method in LP payoffs)</t>
  </si>
  <si>
    <t>Remaining Contract Receivable</t>
  </si>
  <si>
    <t>Current Outstanding Receivables</t>
  </si>
  <si>
    <t>Deferred Income/Deferred Residual Reduction</t>
  </si>
  <si>
    <t>Net Outstanding Receivables</t>
  </si>
  <si>
    <t>Current Outstanding Other Charges</t>
  </si>
  <si>
    <t>Description of first booked asset</t>
  </si>
  <si>
    <t>Broker Fees Paid/Capitalized</t>
  </si>
  <si>
    <t>Pre Authorized Payment (Y/N)</t>
  </si>
  <si>
    <t>Pre Authorized Payment effective date</t>
  </si>
  <si>
    <t>Income accrued to date</t>
  </si>
  <si>
    <t>Current remaining unearned income</t>
  </si>
  <si>
    <t>Lease Income Receivable</t>
  </si>
  <si>
    <t>Current unamortized initial direct cost (book)</t>
  </si>
  <si>
    <t>Physical location of first booked asset</t>
  </si>
  <si>
    <t>Current delinquency age bucket (16-30, 31-60, etc.)</t>
  </si>
  <si>
    <t>Mark up of the asset (info only. Doesn't affect capitalized cost)</t>
  </si>
  <si>
    <t>Rental income for the current rental period</t>
  </si>
  <si>
    <t>Residual income for current period</t>
  </si>
  <si>
    <t>Amount of IDC amortized during last accrual period</t>
  </si>
  <si>
    <t>Indication of which taxing entities are in effect for the asset (City, State, etc.)</t>
  </si>
  <si>
    <t>The origin of the lease</t>
  </si>
  <si>
    <t>Earned residual income YTD</t>
  </si>
  <si>
    <t>Original Unearned Residual Income</t>
  </si>
  <si>
    <t>Current monthly initial direct cost (book)</t>
  </si>
  <si>
    <t>Remaining unearned income</t>
  </si>
  <si>
    <t>Date of last Collection Status change</t>
  </si>
  <si>
    <t>Equipment Class Code for first booked asset</t>
  </si>
  <si>
    <t>Current Monthly Payment - for contracts with uneven payments, this is the final payment in the payment stream.</t>
  </si>
  <si>
    <t>This is a duplication of Remaining Unearned Income (current remaining unearned income)</t>
  </si>
  <si>
    <t>Broker #</t>
  </si>
  <si>
    <t>Broker Name</t>
  </si>
  <si>
    <t>Investor</t>
  </si>
  <si>
    <t>Non-economic user-defined field</t>
  </si>
  <si>
    <t>System Date of report generation</t>
  </si>
  <si>
    <t>Payment Frequency</t>
  </si>
  <si>
    <t>Original Filing Fees</t>
  </si>
  <si>
    <t>Unamortized Filing Fees</t>
  </si>
  <si>
    <t>Original Dealer Fees</t>
  </si>
  <si>
    <t>Unamortized Dealer Fees</t>
  </si>
  <si>
    <t>Asset Brand</t>
  </si>
  <si>
    <t>Principal Receivable</t>
  </si>
  <si>
    <t>Principal Paid Life to Date</t>
  </si>
  <si>
    <t>Interest Rate</t>
  </si>
  <si>
    <t>Leased Equipment</t>
  </si>
  <si>
    <t>Accumulated Depreciation</t>
  </si>
  <si>
    <t>Unbilled Operating Receivable</t>
  </si>
  <si>
    <t>Deferred Operating Lease Revenue</t>
  </si>
  <si>
    <t>Unbilled Operating Income</t>
  </si>
  <si>
    <t>LEASE</t>
  </si>
  <si>
    <t>Description</t>
  </si>
  <si>
    <t>Report Key</t>
  </si>
  <si>
    <t>Name</t>
  </si>
  <si>
    <t>Trans</t>
  </si>
  <si>
    <t>Bank CD</t>
  </si>
  <si>
    <t>Posted Date</t>
  </si>
  <si>
    <t>Payment</t>
  </si>
  <si>
    <t>Pre-Payment</t>
  </si>
  <si>
    <t>Payoff</t>
  </si>
  <si>
    <t>Inventory Sale</t>
  </si>
  <si>
    <t>Paydown</t>
  </si>
  <si>
    <t>Property Tax</t>
  </si>
  <si>
    <t>Late Charges</t>
  </si>
  <si>
    <t>Suspense</t>
  </si>
  <si>
    <t>Check No</t>
  </si>
  <si>
    <t>Oper Inits</t>
  </si>
  <si>
    <t>Contract Number</t>
  </si>
  <si>
    <t>Lessor yield calculated by lease accounting system</t>
  </si>
  <si>
    <t>The remaining unearned residual for the contract. This account holds the total unrecognized residual income for the precomputed interest type leases in the portfolio. It is only used if residual income is accreted.</t>
  </si>
  <si>
    <t>Suspense Item, the number assigned to the suspense item.</t>
  </si>
  <si>
    <t>Suspense Account, the bank code used when the item was put into suspense is diplayed if the Multiple Banks module was purchased.</t>
  </si>
  <si>
    <t>The comments as entered by the operator are displayed for outstanding suspense entries. Comments may be changed through the Suspense update.</t>
  </si>
  <si>
    <t>Invoice Number, also displayed are credit memo numbers which indicate a pre-payment has occurred. For advanced invoices which have not yet accrued, the number is followed by an A.</t>
  </si>
  <si>
    <t>The total of payment and use tax amount due.</t>
  </si>
  <si>
    <t>Contract number (ID), the lease (or contract) number assigned by Vervent</t>
  </si>
  <si>
    <t>Customer/Obligor name.</t>
  </si>
  <si>
    <t>Customer/Obligor Location</t>
  </si>
  <si>
    <t>Customer/Obligor Phone Number</t>
  </si>
  <si>
    <t>Customer/Obligor Number 2</t>
  </si>
  <si>
    <t>Customer/Obligor Address</t>
  </si>
  <si>
    <t>Customer/Obligor Phone Address 2</t>
  </si>
  <si>
    <t>Customer/Obligor City</t>
  </si>
  <si>
    <t>Customer/Obligor State</t>
  </si>
  <si>
    <t>Customer/Obligor Zip Code</t>
  </si>
  <si>
    <t>Customer/Obligor Contact</t>
  </si>
  <si>
    <t>Company code.</t>
  </si>
  <si>
    <t>Region code.</t>
  </si>
  <si>
    <t>Office code.</t>
  </si>
  <si>
    <t>Calculations</t>
  </si>
  <si>
    <t>Description of booked asset.</t>
  </si>
  <si>
    <t>CONTRACT</t>
  </si>
  <si>
    <t>SUSP ITEM</t>
  </si>
  <si>
    <t>SUSPENSE TYPE</t>
  </si>
  <si>
    <t>SUSPENSE DATE</t>
  </si>
  <si>
    <t>SUSP ACCT</t>
  </si>
  <si>
    <t>OPER TO</t>
  </si>
  <si>
    <t>OPER FROM</t>
  </si>
  <si>
    <t>SUSPENSE AMOUNT</t>
  </si>
  <si>
    <t>REMAINING BALANCE</t>
  </si>
  <si>
    <t>DATE CLEARED</t>
  </si>
  <si>
    <t>CLR ACCT</t>
  </si>
  <si>
    <t>COMMENTS</t>
  </si>
  <si>
    <t>INVOICE NUMBER</t>
  </si>
  <si>
    <t>INVOICE DUE DATE</t>
  </si>
  <si>
    <t>AMOUNT DUE - PAYMENT</t>
  </si>
  <si>
    <t>AMOUNT DUE - USE TAX</t>
  </si>
  <si>
    <t>AMOUNT DUE - TYPE OF OTHER</t>
  </si>
  <si>
    <t>AMOUNT DUE - OTHER</t>
  </si>
  <si>
    <t>AMOUNT DUE - PAYMENT + TAX</t>
  </si>
  <si>
    <t>DATE LST UPDATE</t>
  </si>
  <si>
    <t>ASSMT TYPE</t>
  </si>
  <si>
    <t>LAST PMT</t>
  </si>
  <si>
    <t>AMOUNT OUTSTANDING - CURRENT</t>
  </si>
  <si>
    <t>AMOUNT OUTSTANDING - 31 - 60</t>
  </si>
  <si>
    <t>AMOUNT OUTSTANDING - 1 - 30</t>
  </si>
  <si>
    <t>AMOUNT OUTSTANDING - 61 -90</t>
  </si>
  <si>
    <t>AMOUNT OUTSTANDING - 91+</t>
  </si>
  <si>
    <t>TOTAL OUTSTANDING</t>
  </si>
  <si>
    <t>NOTARY FEE</t>
  </si>
  <si>
    <t>CONTRACT RECEIVABLE</t>
  </si>
  <si>
    <t>UNGUARANTEED RESIDUAL</t>
  </si>
  <si>
    <t>UNEARNED LESSOR</t>
  </si>
  <si>
    <t>UNEARNED RESIDUAL</t>
  </si>
  <si>
    <t>UNEARNED VENDOR</t>
  </si>
  <si>
    <t>UNEARNED BANK</t>
  </si>
  <si>
    <t>UNAMORTIZED IDC</t>
  </si>
  <si>
    <t>INS PREM</t>
  </si>
  <si>
    <t>INS FEE</t>
  </si>
  <si>
    <t>The number of days delinquent</t>
  </si>
  <si>
    <t>The name of the update which was used to place the item into suspense (e.g., Payoff).</t>
  </si>
  <si>
    <t>The date the item was placed in suspense.</t>
  </si>
  <si>
    <t>The original dollar amount of the suspense item.</t>
  </si>
  <si>
    <t>The remaining balance of the suspense item. The remaining balance is decreased through the use of the suspense item (e.g., using the suspense item to process a payment).</t>
  </si>
  <si>
    <t>The date the item was cleared from suspense. An item is cleared from suspense when the full amount of the suspense item has been used, applied (i.e., when the remaining balance is zero), cleared via a general ledger account or cleared via cashier’s check.</t>
  </si>
  <si>
    <t>The lease payment amount excluding use tax. Also included in this field are any interim rents, security deposits or down payment amounts due and outstanding.</t>
  </si>
  <si>
    <t>The outstanding amount of use tax.</t>
  </si>
  <si>
    <t>A description of additional charges or assessments due (e.g., Property Tax, Late Charges, Recurring Charges, Deferred Residual etc.). Credit memos are also identified in this column.</t>
  </si>
  <si>
    <t>The date a lease payment was last processed on the system.</t>
  </si>
  <si>
    <t>The current assessment amount due for the TYPE of assessment. Assessments (use tax and recurring charges) which appear on advanced invoices but have not yet accrued are included in this amount.</t>
  </si>
  <si>
    <t>The assessment amount past due from 1 to 30 days for the TYPE of assessment.</t>
  </si>
  <si>
    <t>The assessment amount past due from 31 to 60 days for the TYPE of assessment.</t>
  </si>
  <si>
    <t>The assessment amount past due from 61 to 90 days for the TYPE of assessment.</t>
  </si>
  <si>
    <t>The assessment amount past due over 90 days for the TYPE of assessment.</t>
  </si>
  <si>
    <t>The total assessment amounts due for the TYPE of assessment.</t>
  </si>
  <si>
    <t>The amount of rental income to be accrued to the lessor over the remaining life of the lease.</t>
  </si>
  <si>
    <t>Date of the last update, the processing date of the most recent payment. If no payment has been made on this invoice, the date the invoice was last changed (e.g., through the Cycle Accrual update).</t>
  </si>
  <si>
    <t>Any interest adjusted. (e.g. interest unpaid, interest carryover, etc.). Positive amounts indicate interest due on outstanding invoices. Negative amounts indicate interest overpaid.</t>
  </si>
  <si>
    <t>The type of assessment (e.g., use tax, late charges, collection fee, etc.). Each different assessment type outstanding. for the lease on separate lines of the report. If the Name Assessment by Portfolio module is purchased, the customized assessment names will be displayed.</t>
  </si>
  <si>
    <t>The number of days past due date before late charge assessed</t>
  </si>
  <si>
    <t>Opening Commission, the amount of suspended opening commission initial direct revenue for the lease.</t>
  </si>
  <si>
    <t>Registration fee, the amount of suspended registration fee initial direct revenue for the lease.</t>
  </si>
  <si>
    <t>Dealer subsidy, the amount of suspended dealer subsidy initial direct revenue for the lease.</t>
  </si>
  <si>
    <t>Contract Receivable, the total of all remaining lease payments to be accrued plus the guaranteed residual value for all precomputed interest type leases in the portfolio.</t>
  </si>
  <si>
    <t>This is a concatenated form of the portfolio code, company code, region code and office code.</t>
  </si>
  <si>
    <t>Contract Download (oper leases)</t>
  </si>
  <si>
    <t>The commencement date of a contract.  If the contract is in advance, this would be the date that the first payment is due.  If the contract is in arrears, the commencement dates is one month prior to the first payment due date.  The day in the commencement date is always equal to the payment due day.</t>
  </si>
  <si>
    <t>Total residual value, the estimated market value of the equipment, either actual or expected, at the end, or termination, of the lease.</t>
  </si>
  <si>
    <t xml:space="preserve">Security deposit, this  is held by the lessor on notes payable which is returned to teh lessee once the lessess has fulfilled the contract. It is the same G/L account as that used to record credits for security deposits for leases held by the lessor. </t>
  </si>
  <si>
    <t>The number of months that indicate the length of a specific lease or loan.</t>
  </si>
  <si>
    <t>The date an agreement was signed in which a lessor agreed to extend credit to a specific customer or company.</t>
  </si>
  <si>
    <t>Identifies all suspense items. It may be used to review all outstanding and recently cleared suspense items or to prove the suspense General Ledger account on the General Ledger Entries Listing.</t>
  </si>
  <si>
    <r>
      <t xml:space="preserve">This column designates if a lease is in suspended earnings status or is extended. An asterisk (*). if the lease is in a suspended earnings status and the </t>
    </r>
    <r>
      <rPr>
        <b/>
        <sz val="8"/>
        <color theme="1"/>
        <rFont val="Arial"/>
        <family val="2"/>
      </rPr>
      <t>invoice due date</t>
    </r>
    <r>
      <rPr>
        <sz val="8"/>
        <color theme="1"/>
        <rFont val="Arial"/>
        <family val="2"/>
      </rPr>
      <t xml:space="preserve"> is after the effective date of the earnings suspension. An R. if the lease has been extended using the RES method on a cash basis and the </t>
    </r>
    <r>
      <rPr>
        <b/>
        <sz val="8"/>
        <color theme="1"/>
        <rFont val="Arial"/>
        <family val="2"/>
      </rPr>
      <t>invoice due date</t>
    </r>
    <r>
      <rPr>
        <sz val="8"/>
        <color theme="1"/>
        <rFont val="Arial"/>
        <family val="2"/>
      </rPr>
      <t xml:space="preserve"> is after the commencement date of the extended term</t>
    </r>
  </si>
  <si>
    <r>
      <t xml:space="preserve">The amount of the above referenced charges. This figure is </t>
    </r>
    <r>
      <rPr>
        <b/>
        <sz val="8"/>
        <color theme="1"/>
        <rFont val="Arial"/>
        <family val="2"/>
      </rPr>
      <t>not</t>
    </r>
    <r>
      <rPr>
        <sz val="8"/>
        <color theme="1"/>
        <rFont val="Arial"/>
        <family val="2"/>
      </rPr>
      <t xml:space="preserve"> included in the payment + tax amount due field.</t>
    </r>
  </si>
  <si>
    <t>The amount of rental income to be accrued to and earned by the vendor over the remaining life of the lease. Unearned vendor is applicable only if the vendor is participating in the income earnings of the lease.</t>
  </si>
  <si>
    <t>Unamortized initial direct costs, the amount of initial direct costs to be amortized over the remaining life of the lease.</t>
  </si>
  <si>
    <t>Insurance premuim, the amount of suspended insurance premium initial direct costs for the lease.</t>
  </si>
  <si>
    <t xml:space="preserve">The amount of rental income to be accrued to and earned by the bank over the remaining life of the lease is displayed. Unearned bank is applicable only if the investor is participating in the income earnings of the lease. </t>
  </si>
  <si>
    <t>Insurance Fee, fee is a percentage of the insurance premium, as established on new lease customization. The amount of suspended insurance fee initial direct revenue for the lease.</t>
  </si>
  <si>
    <t>Notary Fee, the amount of suspended notary fee initial direct costs for the lease, it is paid to the broker.</t>
  </si>
  <si>
    <t>Operator initials, specific operator that entered the transaction.</t>
  </si>
  <si>
    <t>Invoice due date, the date the invoice payment is due.</t>
  </si>
  <si>
    <t>The check number of the payment.</t>
  </si>
  <si>
    <t>Internal Rate of Return, the annual rate of growth a lease or loan is expected to generate.</t>
  </si>
  <si>
    <t>Original Equipment Cost, the original cost includes all quantifiable facets (eg fees, shipping and delivery, installation and warranty) of the equipment.</t>
  </si>
  <si>
    <t>Original Initial Direct Cost, the costs that are directly associated with negotiating and completing a service agreement.  Initial indirect costs consist of sales commissions, legal fees, creditworthiness checks, preparation of documentation, in addition to other costs that are incremental and directly attributable to the agreement.</t>
  </si>
  <si>
    <t>Original Unearned Income, the difference between the gross investment in the lease and its book vaule or carrying amount (the carrying amount is the recorded cost of an asset, net of any accumulated depreciation or accumulated impairment losses).</t>
  </si>
  <si>
    <t>The commencement date of a contract. If the contract is in advance, this would be the date that the first payment is due. If the contract is in arrears, the commencement dates is one month prior to the first payment due date. The day in the commencement date is always equal to the payment due day.</t>
  </si>
  <si>
    <t>Consolidated loan level detail report.</t>
  </si>
  <si>
    <t>Report shows the financial values of all current leases on file. Paid off and terminated leases are not included. It may be used just to inventory leases on file or to reconcile corresponding General Ledger accounts on the General Ledger Entries Listing report.</t>
  </si>
  <si>
    <t>MTD Interest Income recognized on an Accrual Basis, does not include residual</t>
  </si>
  <si>
    <t>Number of instances customer has been 16-30 days delinquent</t>
  </si>
  <si>
    <t>Number of instances customer has been 31-60 days delinquent</t>
  </si>
  <si>
    <t>Number of instances customer has been 61-90 days delinquent</t>
  </si>
  <si>
    <t>Number of instances customer has been 91+ days delinquent</t>
  </si>
  <si>
    <t>Dealer Name, the vendor name</t>
  </si>
  <si>
    <t>Dealer code, the vendor code</t>
  </si>
  <si>
    <t>Accrued Principal amount</t>
  </si>
  <si>
    <t>Provides a list of all outstanding accounts receivable items. It may be used to reference payments/charges accrued but not yet paid and to reconcile the Lease Payments Receivable General Ledger account balance on the General Ledger Entries Listing report.</t>
  </si>
  <si>
    <t>Clearing account, the general ledger account or disbursal bank used to clear the suspense item. If the suspense item is not cleared, this field is blank.</t>
  </si>
  <si>
    <t>Guaranteed residual value, the guaranteed portion of the total residual for the lease or loan. The lessee or an unrelated third party (e.g. equipment manufactures, insurance company) guarantees to the lessor that the leased equipment will be worth a certain fixed amount at the end of the lease term. The guarantor agrees to reimburse the lessor for any deficiency realized if the leased equipment is subsequently salvaged at an amount below the guaranteed residual value.</t>
  </si>
  <si>
    <t>Unguaranteed residual, the unguaranteed portion of the total residual for the lease or loan. The portion of residual value for which the lessor is at-risk.  The lessor takes on the risk that the equipment may or may not be worth this expected value at the end of the lease term.</t>
  </si>
  <si>
    <t>Lists all leases and shows aging of outstanding assessment charges. All assessments, including use tax and recurring charges, may appear on the report. The user selects all or a subset of assessments to be included. The assessment charges are organized into customizable categories (e.g., current; 1-30 days; 31-60 days; 61- 90 days; and 91+ days). This report may be used to reference assessment charges accrued but not yet paid and to reconcile each Assessment Receivable general ledger account balance on the General Ledger Entries Listing report.</t>
  </si>
  <si>
    <t>Reports the cash activities.</t>
  </si>
  <si>
    <t>General Ledger Entries Listing</t>
  </si>
  <si>
    <t>Number</t>
  </si>
  <si>
    <t>Debit</t>
  </si>
  <si>
    <t>Credit</t>
  </si>
  <si>
    <t>MTD Debit</t>
  </si>
  <si>
    <t>MTD Credit</t>
  </si>
  <si>
    <t>Balance</t>
  </si>
  <si>
    <t>Name associated weith the General Ledger account</t>
  </si>
  <si>
    <t>Daily debits recorded against the General Ledger account</t>
  </si>
  <si>
    <t>Daily credits recorded against the General Ledger account</t>
  </si>
  <si>
    <t>Month to date credits recorded against the General Ledger account</t>
  </si>
  <si>
    <t>Month to date debits recorded against the General Ledger account</t>
  </si>
  <si>
    <t>Net Balance of the General Ledger account</t>
  </si>
  <si>
    <t>Cash processed</t>
  </si>
  <si>
    <t>Lease</t>
  </si>
  <si>
    <t>Lessee Name</t>
  </si>
  <si>
    <t>Number assigned to the General Ledger account</t>
  </si>
  <si>
    <t xml:space="preserve">Contract Receivable + Guaranteed Residual </t>
  </si>
  <si>
    <t>Unguaranteed Residual  + Remaining Contract Receivable + Net Outstanding Receivables - Current Remaining Unearned Income + Lease Income Receivable - Suspended Income Accrual - Unearned Residual Income</t>
  </si>
  <si>
    <t>(Current Outstanding Receivables) - (Deferred Income/Deferred Residual Reduction)</t>
  </si>
  <si>
    <t>Suspended Income Receivable (Unbilled)</t>
  </si>
  <si>
    <t>Suspended Receivable (Income)</t>
  </si>
  <si>
    <t>Suspended Receivable (Principal)</t>
  </si>
  <si>
    <t>Internal Rate of Return without Residual, the annual rate of growth an investment is expected to generate without counting the residual value.</t>
  </si>
  <si>
    <t xml:space="preserve">Unguaranteed Residual + Guaranteed Residual </t>
  </si>
  <si>
    <t>(Contract Receivable + Residual) - (all Unearned Income + Unamortized book initial direct cost)</t>
  </si>
  <si>
    <t>AAPR</t>
  </si>
  <si>
    <t xml:space="preserve">ADV P LEVEL YIELD                   </t>
  </si>
  <si>
    <t>Advance payment, level yield</t>
  </si>
  <si>
    <t>RAPR</t>
  </si>
  <si>
    <t xml:space="preserve">ARR P LEVEL YIELD                   </t>
  </si>
  <si>
    <t>Arrears payment, level yield</t>
  </si>
  <si>
    <t>RRES</t>
  </si>
  <si>
    <t xml:space="preserve">ARR RES                             </t>
  </si>
  <si>
    <t>Lease Contract Status</t>
  </si>
  <si>
    <t>AA01</t>
  </si>
  <si>
    <r>
      <rPr>
        <b/>
        <sz val="8"/>
        <rFont val="Arial"/>
        <family val="2"/>
      </rPr>
      <t>ACTIVE PRIOR CHARGE OFF</t>
    </r>
    <r>
      <rPr>
        <sz val="8"/>
        <rFont val="Arial"/>
        <family val="2"/>
      </rPr>
      <t>, a previously terminated contract that has been reactivated. This status is entered through the Suspended Earnings update.</t>
    </r>
  </si>
  <si>
    <t>AA02</t>
  </si>
  <si>
    <r>
      <rPr>
        <b/>
        <sz val="8"/>
        <rFont val="Arial"/>
        <family val="2"/>
      </rPr>
      <t>ACTIVE PRIOR SKIP,</t>
    </r>
    <r>
      <rPr>
        <sz val="8"/>
        <rFont val="Arial"/>
        <family val="2"/>
      </rPr>
      <t xml:space="preserve"> the Obligor had previously absconded and placed in ‘HSKP’ or ‘NSKP’ status. The contract is active and will be tracked as a previous skip. This status is entered through the Suspended Earning update.</t>
    </r>
  </si>
  <si>
    <t>AASM</t>
  </si>
  <si>
    <t>AEXM</t>
  </si>
  <si>
    <t>AEXT</t>
  </si>
  <si>
    <t>ANOR</t>
  </si>
  <si>
    <t>ABPT</t>
  </si>
  <si>
    <r>
      <rPr>
        <b/>
        <sz val="8"/>
        <rFont val="Arial"/>
        <family val="2"/>
      </rPr>
      <t>ACTIVE BLOCK PAYMENTS</t>
    </r>
    <r>
      <rPr>
        <sz val="8"/>
        <rFont val="Arial"/>
        <family val="2"/>
      </rPr>
      <t>, the contract is active and will continue to accrue to the general ledger accounts. Payments of any type may not be posted including: Payments, Batch Payments, and Assumed Payments, will not be allowed. In addition, Payoffs or Terminations, will not be allowed. The contract will not mature to ‘NMAT’ status. This status is entered through the Master Financial update.</t>
    </r>
  </si>
  <si>
    <t>ARBK</t>
  </si>
  <si>
    <t>ARED</t>
  </si>
  <si>
    <r>
      <t>ACTIVE REDEMPTION</t>
    </r>
    <r>
      <rPr>
        <sz val="8"/>
        <rFont val="Arial"/>
        <family val="2"/>
      </rPr>
      <t>, the repossessed contractd assets have been redeemed by the obligor and the contract has been reinstated. This status is entered through the Master Financial update.</t>
    </r>
  </si>
  <si>
    <t>AREN</t>
  </si>
  <si>
    <r>
      <rPr>
        <b/>
        <sz val="8"/>
        <rFont val="Arial"/>
        <family val="2"/>
      </rPr>
      <t>ACTIVE RENEGOTIATED</t>
    </r>
    <r>
      <rPr>
        <sz val="8"/>
        <rFont val="Arial"/>
        <family val="2"/>
      </rPr>
      <t>, the contract terms have been renegotiated. This status is entered through the Master Financial update.</t>
    </r>
  </si>
  <si>
    <t>AREP</t>
  </si>
  <si>
    <r>
      <rPr>
        <b/>
        <sz val="8"/>
        <rFont val="Arial"/>
        <family val="2"/>
      </rPr>
      <t>ACTIVE ASSIGNED FOR REPOSSESSION</t>
    </r>
    <r>
      <rPr>
        <sz val="8"/>
        <rFont val="Arial"/>
        <family val="2"/>
      </rPr>
      <t>, the contractd assets are assigned for repossession, but have not yet been recovered. contract payments may not be processed for a contract with this status. This status is entered through the Master Financial update.</t>
    </r>
  </si>
  <si>
    <t>AXFR</t>
  </si>
  <si>
    <t>HHLD</t>
  </si>
  <si>
    <r>
      <rPr>
        <b/>
        <sz val="8"/>
        <rFont val="Arial"/>
        <family val="2"/>
      </rPr>
      <t>NON-ACCRUAL HOLD</t>
    </r>
    <r>
      <rPr>
        <sz val="8"/>
        <rFont val="Arial"/>
        <family val="2"/>
      </rPr>
      <t>, the income earnings are not accrued for the contract for a non-specific reason. This status is entered through the Suspended Earnings update.</t>
    </r>
  </si>
  <si>
    <t>HINS</t>
  </si>
  <si>
    <r>
      <rPr>
        <b/>
        <sz val="8"/>
        <rFont val="Arial"/>
        <family val="2"/>
      </rPr>
      <t>NON-ACCRUAL NON-INSURANCE</t>
    </r>
    <r>
      <rPr>
        <sz val="8"/>
        <rFont val="Arial"/>
        <family val="2"/>
      </rPr>
      <t>, the income earnings are not accrued for the contract due to lack of adequate and/or required insurance. This status is entered through the Suspended earnings update.</t>
    </r>
  </si>
  <si>
    <t>HREC</t>
  </si>
  <si>
    <r>
      <rPr>
        <b/>
        <sz val="8"/>
        <rFont val="Arial"/>
        <family val="2"/>
      </rPr>
      <t>NON-ACCRUAL RESCISSION</t>
    </r>
    <r>
      <rPr>
        <sz val="8"/>
        <rFont val="Arial"/>
        <family val="2"/>
      </rPr>
      <t>, the income earnings are not accrued for the contract because the lessee has rescinded on the contract contract. This status is entered through the Suspended Earnings update.</t>
    </r>
  </si>
  <si>
    <t>HREP</t>
  </si>
  <si>
    <r>
      <rPr>
        <b/>
        <sz val="8"/>
        <rFont val="Arial"/>
        <family val="2"/>
      </rPr>
      <t>NON-ACCRUAL INVOLUNTARY REPOSSESSION</t>
    </r>
    <r>
      <rPr>
        <sz val="8"/>
        <rFont val="Arial"/>
        <family val="2"/>
      </rPr>
      <t>, the income earnings are not accrued for the contract because the contractd assets have been repossessed by the lessor. This status is entered through the Suspended earnings update.</t>
    </r>
  </si>
  <si>
    <t>HSET</t>
  </si>
  <si>
    <r>
      <rPr>
        <b/>
        <sz val="8"/>
        <rFont val="Arial"/>
        <family val="2"/>
      </rPr>
      <t>NON-ACCRUAL INSURANCE SETTLEMENT</t>
    </r>
    <r>
      <rPr>
        <sz val="8"/>
        <rFont val="Arial"/>
        <family val="2"/>
      </rPr>
      <t>, the income earnings are not accrued for the contract because an insurance settlement is pending (i.e., the assets have been damaged or destroyed). This status is entered through the Suspended earnings update.</t>
    </r>
  </si>
  <si>
    <t>HSKP</t>
  </si>
  <si>
    <r>
      <rPr>
        <b/>
        <sz val="8"/>
        <rFont val="Arial"/>
        <family val="2"/>
      </rPr>
      <t>NON-ACCRUAL SKIP</t>
    </r>
    <r>
      <rPr>
        <sz val="8"/>
        <rFont val="Arial"/>
        <family val="2"/>
      </rPr>
      <t>, the income earnings are not accrued for the contract because the lessee absconded with the contractd assets. This status is entered through the Suspended earnings update.</t>
    </r>
  </si>
  <si>
    <t>HVOL</t>
  </si>
  <si>
    <r>
      <rPr>
        <b/>
        <sz val="8"/>
        <rFont val="Arial"/>
        <family val="2"/>
      </rPr>
      <t>NON-ACCRUAL VOLUNTARY REPOSSESSION</t>
    </r>
    <r>
      <rPr>
        <sz val="8"/>
        <rFont val="Arial"/>
        <family val="2"/>
      </rPr>
      <t>, the income earnings are not accrued for the contract because the lessee desires to return the contractd assets to the lessor in order to terminate the contract contract. This status is entered through the Suspended earnings update.</t>
    </r>
  </si>
  <si>
    <t>NCRP</t>
  </si>
  <si>
    <t>NREP</t>
  </si>
  <si>
    <r>
      <rPr>
        <b/>
        <sz val="8"/>
        <rFont val="Arial"/>
        <family val="2"/>
      </rPr>
      <t>NON- ACCRUAL INVENTORY REPOSSESSION</t>
    </r>
    <r>
      <rPr>
        <sz val="8"/>
        <rFont val="Arial"/>
        <family val="2"/>
      </rPr>
      <t>, (suspended earnings-assigned for repossession). Note that this status is not assigned if the activity status is ‘AREP’ (active assigned for repossession).</t>
    </r>
  </si>
  <si>
    <t>NCSK</t>
  </si>
  <si>
    <t>NP01</t>
  </si>
  <si>
    <r>
      <rPr>
        <b/>
        <sz val="8"/>
        <rFont val="Arial"/>
        <family val="2"/>
      </rPr>
      <t>CHARGE OFF: FORECLOSURE</t>
    </r>
    <r>
      <rPr>
        <sz val="8"/>
        <rFont val="Arial"/>
        <family val="2"/>
      </rPr>
      <t>, the contract has been Charged off due to foreclosure. The contract is no longer active. This status is entered through the Suspended Earnings update. Note that this status is assigned if the activity status is NH01 (suspended earnings foreclosure).</t>
    </r>
  </si>
  <si>
    <t>NP04</t>
  </si>
  <si>
    <r>
      <rPr>
        <b/>
        <sz val="8"/>
        <rFont val="Arial"/>
        <family val="2"/>
      </rPr>
      <t>CHARGE OFF: WRITE OFF</t>
    </r>
    <r>
      <rPr>
        <sz val="8"/>
        <rFont val="Arial"/>
        <family val="2"/>
      </rPr>
      <t>, the contract has been charged off as a write off. The contract is no longer active. This status is entered through the Suspended Earnings update. Note that this status is assigned if the activity status is NH04 (suspended earnings write off).</t>
    </r>
  </si>
  <si>
    <t>NCVL</t>
  </si>
  <si>
    <t>NDSC</t>
  </si>
  <si>
    <t>NHLD</t>
  </si>
  <si>
    <r>
      <rPr>
        <b/>
        <sz val="8"/>
        <rFont val="Arial"/>
        <family val="2"/>
      </rPr>
      <t>SUSPENDED EARNINGS HOLD</t>
    </r>
    <r>
      <rPr>
        <sz val="8"/>
        <rFont val="Arial"/>
        <family val="2"/>
      </rPr>
      <t>, the income earnings are suspended for the contract for a non-specific reason. This status is entered through either the Suspended earnings update.</t>
    </r>
  </si>
  <si>
    <t>NINS</t>
  </si>
  <si>
    <r>
      <rPr>
        <b/>
        <sz val="8"/>
        <rFont val="Arial"/>
        <family val="2"/>
      </rPr>
      <t>SUSPENDED EARNINGS NON-INSURANCE</t>
    </r>
    <r>
      <rPr>
        <sz val="8"/>
        <rFont val="Arial"/>
        <family val="2"/>
      </rPr>
      <t>, the income earnings are suspended for the contract due to lack of adequate and/or required insurance. This status is entered through the Suspended earnings update.</t>
    </r>
  </si>
  <si>
    <t>NH01</t>
  </si>
  <si>
    <r>
      <rPr>
        <b/>
        <sz val="8"/>
        <rFont val="Arial"/>
        <family val="2"/>
      </rPr>
      <t>SUSPENDED EARNINGS: FORECLOSURE</t>
    </r>
    <r>
      <rPr>
        <sz val="8"/>
        <rFont val="Arial"/>
        <family val="2"/>
      </rPr>
      <t>, the income earnings are suspended for the contract due to foreclosure. The status is entered through the Suspended Earnings update.</t>
    </r>
  </si>
  <si>
    <t>NH02</t>
  </si>
  <si>
    <r>
      <rPr>
        <b/>
        <sz val="8"/>
        <rFont val="Arial"/>
        <family val="2"/>
      </rPr>
      <t>SUSPENDED EARNINGS: INSURANCE CLAIM</t>
    </r>
    <r>
      <rPr>
        <sz val="8"/>
        <rFont val="Arial"/>
        <family val="2"/>
      </rPr>
      <t>, the income earnings are suspended for the contract due to pending insurance claim reasons. This status is entered through the Suspended Earnings update.</t>
    </r>
  </si>
  <si>
    <t>NH03</t>
  </si>
  <si>
    <r>
      <rPr>
        <b/>
        <sz val="8"/>
        <rFont val="Arial"/>
        <family val="2"/>
      </rPr>
      <t>SUSPENDED EARNINGS: SETTLEMENT</t>
    </r>
    <r>
      <rPr>
        <sz val="8"/>
        <rFont val="Arial"/>
        <family val="2"/>
      </rPr>
      <t>, the income earnings are suspended for the contract due to pending settlement reasons. This status is entered through the Suspended Earnings update.</t>
    </r>
  </si>
  <si>
    <t>NH04</t>
  </si>
  <si>
    <r>
      <rPr>
        <b/>
        <sz val="8"/>
        <rFont val="Arial"/>
        <family val="2"/>
      </rPr>
      <t>SUSPENDED EARNINGS:WRITE OFF</t>
    </r>
    <r>
      <rPr>
        <sz val="8"/>
        <rFont val="Arial"/>
        <family val="2"/>
      </rPr>
      <t>, the income earnings are suspended for the contract due to pending write off reasons. This status is entered through the Suspended Earnings update.</t>
    </r>
  </si>
  <si>
    <t>NMAT</t>
  </si>
  <si>
    <t>NPDS</t>
  </si>
  <si>
    <t>NPER</t>
  </si>
  <si>
    <t>NPHL</t>
  </si>
  <si>
    <r>
      <rPr>
        <b/>
        <sz val="8"/>
        <rFont val="Arial"/>
        <family val="2"/>
      </rPr>
      <t>PAID OFF: SUSPENDED</t>
    </r>
    <r>
      <rPr>
        <sz val="8"/>
        <rFont val="Arial"/>
        <family val="2"/>
      </rPr>
      <t>, this status is automatically assigned after paying off or terminating the contract with an activity status ‘NHLD’ (suspended earnings hold),</t>
    </r>
  </si>
  <si>
    <t>NPMT</t>
  </si>
  <si>
    <t>NPRC</t>
  </si>
  <si>
    <t>NPST</t>
  </si>
  <si>
    <t>NP02</t>
  </si>
  <si>
    <t>NP03</t>
  </si>
  <si>
    <t>NREC</t>
  </si>
  <si>
    <r>
      <rPr>
        <b/>
        <sz val="8"/>
        <rFont val="Arial"/>
        <family val="2"/>
      </rPr>
      <t>SUSPENDED EARNINGS RESCISSION</t>
    </r>
    <r>
      <rPr>
        <sz val="8"/>
        <rFont val="Arial"/>
        <family val="2"/>
      </rPr>
      <t>, the income earnings are suspended for the contract because the obligor has rescinded on the contract. This status is entered through the Suspended Earnings update.</t>
    </r>
  </si>
  <si>
    <r>
      <rPr>
        <b/>
        <sz val="8"/>
        <rFont val="Arial"/>
        <family val="2"/>
      </rPr>
      <t>SUSPENDED EARNINGS INVOLUNTARY REPOSSESSION</t>
    </r>
    <r>
      <rPr>
        <sz val="8"/>
        <rFont val="Arial"/>
        <family val="2"/>
      </rPr>
      <t>, the income earnings are suspended for the contractbecause the financed assets have been repossessed by the lender/lessor. This status is entered through the Suspended earnings update.</t>
    </r>
  </si>
  <si>
    <t>NSET</t>
  </si>
  <si>
    <r>
      <rPr>
        <b/>
        <sz val="8"/>
        <rFont val="Arial"/>
        <family val="2"/>
      </rPr>
      <t>SUSPENDED EARNINGS INSURANCE SETTLEMENT</t>
    </r>
    <r>
      <rPr>
        <sz val="8"/>
        <rFont val="Arial"/>
        <family val="2"/>
      </rPr>
      <t>, the income earnings are suspended for the contract because an insurance settlement is pending (i.e., the assets have been damaged or destroyed). This status is entered through the Suspended earnings update.</t>
    </r>
  </si>
  <si>
    <t>NSKP</t>
  </si>
  <si>
    <r>
      <rPr>
        <b/>
        <sz val="8"/>
        <rFont val="Arial"/>
        <family val="2"/>
      </rPr>
      <t>SUSPENDED EARNINGS SKIP</t>
    </r>
    <r>
      <rPr>
        <sz val="8"/>
        <rFont val="Arial"/>
        <family val="2"/>
      </rPr>
      <t>, the income earnings are suspended for the contract because the obligor absconded with the financed assets. This status is entered through the Suspended earnings update.</t>
    </r>
  </si>
  <si>
    <t>NVOL</t>
  </si>
  <si>
    <r>
      <rPr>
        <b/>
        <sz val="8"/>
        <rFont val="Arial"/>
        <family val="2"/>
      </rPr>
      <t>SUSPENDED EARNINGS VOLUNTARY REPOSSESSION</t>
    </r>
    <r>
      <rPr>
        <sz val="8"/>
        <rFont val="Arial"/>
        <family val="2"/>
      </rPr>
      <t>, the income earnings are suspended for the contract because the obligor desires to return the assets to the lender/lessor in order to terminate the contract. This status is entered through the Suspended earnings update.</t>
    </r>
  </si>
  <si>
    <t>CSA</t>
  </si>
  <si>
    <t>Conditional Sales Agreement, A form of sales contract in which the seller reserves title to the goods until the buyer completes all payments for the goods and fulfills all conditions of the contract. After payment has been concluded, the title to the goods passes to the buyer. Note: CSA is a form of chattel paper.</t>
  </si>
  <si>
    <t>FIN</t>
  </si>
  <si>
    <t>Finance leases, a financed or “true lease” that generally has a meaningful residual value booked.  The lessor is typically the tax owner of the asset(s).</t>
  </si>
  <si>
    <t>INSL</t>
  </si>
  <si>
    <t>Installment loan, a loan or a promissory note.</t>
  </si>
  <si>
    <t>Tran Code</t>
  </si>
  <si>
    <t>New Lease Add</t>
  </si>
  <si>
    <t>New</t>
  </si>
  <si>
    <t>New Lease Add   -Grp</t>
  </si>
  <si>
    <t>New Lease Add Prebrd</t>
  </si>
  <si>
    <t>New Lease Add Pb-Grp</t>
  </si>
  <si>
    <t>New Lease Reversal</t>
  </si>
  <si>
    <t>New Lease Rev   -Grp</t>
  </si>
  <si>
    <t>Inventory Cost Adj</t>
  </si>
  <si>
    <t>Other</t>
  </si>
  <si>
    <t>New Lease Rebook</t>
  </si>
  <si>
    <t>New Lease Rebook-Grp</t>
  </si>
  <si>
    <t>New Lease Preboard</t>
  </si>
  <si>
    <t>New Lease Prebrd-Grp</t>
  </si>
  <si>
    <t>New Lease Rev Prebrd</t>
  </si>
  <si>
    <t>New Lease Rev Pb-Grp</t>
  </si>
  <si>
    <t>Inventory Asset</t>
  </si>
  <si>
    <t>new</t>
  </si>
  <si>
    <t>Inventory Reversal</t>
  </si>
  <si>
    <t>Asset Add-On</t>
  </si>
  <si>
    <t>Payment Reschedule</t>
  </si>
  <si>
    <t>Lease Extension</t>
  </si>
  <si>
    <t>Accrual</t>
  </si>
  <si>
    <t>Lease Extension Rev.</t>
  </si>
  <si>
    <t>Book New Note</t>
  </si>
  <si>
    <t>Book Note Reversal</t>
  </si>
  <si>
    <t>Normal Payment   P/T</t>
  </si>
  <si>
    <t>Term</t>
  </si>
  <si>
    <t>Payment Nrml Grp P/T</t>
  </si>
  <si>
    <t>Partial Payment  P/T</t>
  </si>
  <si>
    <t>Partial Pmt -Grp P/T</t>
  </si>
  <si>
    <t>Payment Principl P/T</t>
  </si>
  <si>
    <t>Pmt Principl Grp P/T</t>
  </si>
  <si>
    <t>Part Payment Prn P/T</t>
  </si>
  <si>
    <t>Part Pmt Prn Grp P/T</t>
  </si>
  <si>
    <t>Susp Prncipl Pmt P/T</t>
  </si>
  <si>
    <t>Susp Prn Pmt Grp P/T</t>
  </si>
  <si>
    <t>Payment Intrst   P/T</t>
  </si>
  <si>
    <t>Pmt Interest Grp P/T</t>
  </si>
  <si>
    <t>Susp Intrst Pmt  P/T</t>
  </si>
  <si>
    <t>Susp Int Pmt Grp P/T</t>
  </si>
  <si>
    <t>Payment Normal</t>
  </si>
  <si>
    <t>Cash</t>
  </si>
  <si>
    <t>Payment Normal  -Grp</t>
  </si>
  <si>
    <t>Partial Payment</t>
  </si>
  <si>
    <t>Partial Payment -Grp</t>
  </si>
  <si>
    <t>Payment Principal</t>
  </si>
  <si>
    <t>Payment Princip -Grp</t>
  </si>
  <si>
    <t>Partial Payment Prn</t>
  </si>
  <si>
    <t>Partial Pmt Prn -Grp</t>
  </si>
  <si>
    <t>Susp Prin Pmt-Indiv</t>
  </si>
  <si>
    <t>Susp Prin Pmt-Group</t>
  </si>
  <si>
    <t>Payment Interest</t>
  </si>
  <si>
    <t>Payment Interest-Grp</t>
  </si>
  <si>
    <t>Susp Int Pmt - Indiv</t>
  </si>
  <si>
    <t>Susp Int Pmt - Group</t>
  </si>
  <si>
    <t>Payment Late Charge</t>
  </si>
  <si>
    <t>Payment Late Chg-Grp</t>
  </si>
  <si>
    <t>Payment Coll Charge</t>
  </si>
  <si>
    <t>Payment Coll Chg-Grp</t>
  </si>
  <si>
    <t>Payment Assump Chg</t>
  </si>
  <si>
    <t>Payment Assump  -Grp</t>
  </si>
  <si>
    <t>Payment Property Tax</t>
  </si>
  <si>
    <t>Payment Prop Tax-Grp</t>
  </si>
  <si>
    <t>Payment Legal Charge</t>
  </si>
  <si>
    <t>Payment Legal Ch-Grp</t>
  </si>
  <si>
    <t>Payment Pmt Extensn</t>
  </si>
  <si>
    <t>Payment Pmt Extn-Grp</t>
  </si>
  <si>
    <t>Payment Itc Charge</t>
  </si>
  <si>
    <t>Payment Itc Chg -Grp</t>
  </si>
  <si>
    <t>Payment Fhut</t>
  </si>
  <si>
    <t>Payment Fhut    -Grp</t>
  </si>
  <si>
    <t>Payment Rewrite Chg</t>
  </si>
  <si>
    <t>Payment Rewrite -Grp</t>
  </si>
  <si>
    <t>Payment Lse Extensn</t>
  </si>
  <si>
    <t>Payment Lse Extn-Grp</t>
  </si>
  <si>
    <t>Payment Other Charge</t>
  </si>
  <si>
    <t>Payment Other Ch-Grp</t>
  </si>
  <si>
    <t>Payment Use Tax</t>
  </si>
  <si>
    <t>Payment Use Tax -Grp</t>
  </si>
  <si>
    <t>Pre-Payment     -Grp</t>
  </si>
  <si>
    <t>Capital Reduct  -Ind</t>
  </si>
  <si>
    <t>Capital Reduct  -Grp</t>
  </si>
  <si>
    <t>Pro-Rate Pmt    -Ind</t>
  </si>
  <si>
    <t>Pro-Rate Pmt    -Grp</t>
  </si>
  <si>
    <t>Security Deposit-Ind</t>
  </si>
  <si>
    <t>other</t>
  </si>
  <si>
    <t>Security Deposit-Grp</t>
  </si>
  <si>
    <t>Vndr Rec Pmt-Indiv</t>
  </si>
  <si>
    <t>Vndr Rec Pmt-Group</t>
  </si>
  <si>
    <t>Rcr Chg 1 Pmt -Indiv</t>
  </si>
  <si>
    <t>Rcr Chg 1 Pmt -Group</t>
  </si>
  <si>
    <t>Rcr Chg 2 Pmt -Indiv</t>
  </si>
  <si>
    <t>Rcr Chg 2 Pmt -Group</t>
  </si>
  <si>
    <t>Rcr Chg 3 Pmt -Indiv</t>
  </si>
  <si>
    <t>Rcr Chg 3 Pmt -Group</t>
  </si>
  <si>
    <t>Pre Pmt -Defered Ind</t>
  </si>
  <si>
    <t>Pre Pmt -Defered Grp</t>
  </si>
  <si>
    <t>Pre Pmt -Use Tax Ind</t>
  </si>
  <si>
    <t>Pre Pmt -Use Tax Grp</t>
  </si>
  <si>
    <t>Pre Pmt -Vnd Rec Ind</t>
  </si>
  <si>
    <t>Pre Pmt -Vnd Rec Grp</t>
  </si>
  <si>
    <t>Pre Pmt - Rcr 1 Ind</t>
  </si>
  <si>
    <t>Pre Pmt - Rcr 1 Grp</t>
  </si>
  <si>
    <t>Pre Pmt - Rcr 2 Ind</t>
  </si>
  <si>
    <t>Pre Pmt - Rcr 2 Grp</t>
  </si>
  <si>
    <t>Pre Pmt - Rcr 3 Ind</t>
  </si>
  <si>
    <t>Pre Pmt - Rcr 3 Grp</t>
  </si>
  <si>
    <t>Ibl Payment</t>
  </si>
  <si>
    <t>Ibl Prn Paydown</t>
  </si>
  <si>
    <t>Ibl Int Cr</t>
  </si>
  <si>
    <t>Ibl Int Cr Adjust</t>
  </si>
  <si>
    <t>Ibl Cash Payment</t>
  </si>
  <si>
    <t>Ibl Susp Payment</t>
  </si>
  <si>
    <t>Ibl Pmt - Interest</t>
  </si>
  <si>
    <t>Ibl Pmt - Principal</t>
  </si>
  <si>
    <t>Ibl Adjustments</t>
  </si>
  <si>
    <t>Ibl Susp Int Pmt</t>
  </si>
  <si>
    <t>Ibl Susp Prn Pmt</t>
  </si>
  <si>
    <t>Ibl Susp Adjustments</t>
  </si>
  <si>
    <t>Ibl Prn Write-Down</t>
  </si>
  <si>
    <t>Ibl Prn Write-Up</t>
  </si>
  <si>
    <t>Note Payable Payment</t>
  </si>
  <si>
    <t>Accrual Normal Cycle</t>
  </si>
  <si>
    <t>Acc Depreciation</t>
  </si>
  <si>
    <t>Acc Itc</t>
  </si>
  <si>
    <t>Acc Rev Normal Cycle</t>
  </si>
  <si>
    <t>Acc Rev Depreciation</t>
  </si>
  <si>
    <t>Acc Rev Itc</t>
  </si>
  <si>
    <t>Note Payable Accrual</t>
  </si>
  <si>
    <t>Note Accrue Reversal</t>
  </si>
  <si>
    <t>Normal Pmt Rev   P/T</t>
  </si>
  <si>
    <t>Pmt Rev Norm-Grp P/T</t>
  </si>
  <si>
    <t>Pmt Rev Partial  P/T</t>
  </si>
  <si>
    <t>Pmt Rev Part-Grp P/T</t>
  </si>
  <si>
    <t>Pmt Rev Prncipal P/T</t>
  </si>
  <si>
    <t>Pmt Rev Prnc-Grp P/T</t>
  </si>
  <si>
    <t>Pmt Rev Part Prn P/T</t>
  </si>
  <si>
    <t>Pmt Rv Pt Pn-Grp P/T</t>
  </si>
  <si>
    <t>Susp Prin Rev    P/T</t>
  </si>
  <si>
    <t>Susp Prin Rv-Grp P/T</t>
  </si>
  <si>
    <t>Pmt Rev Interest P/T</t>
  </si>
  <si>
    <t>Pmt Rev Int-Grp  P/T</t>
  </si>
  <si>
    <t>Susp Int Rev     P/T</t>
  </si>
  <si>
    <t>Susp Int Rev-Grp P/T</t>
  </si>
  <si>
    <t>Pmt Rev Normal</t>
  </si>
  <si>
    <t>Pmt Rev Normal  -Grp</t>
  </si>
  <si>
    <t>Pmt Rev Partial</t>
  </si>
  <si>
    <t>Pmt Rev Partial -Grp</t>
  </si>
  <si>
    <t>Pmt Rev Principal</t>
  </si>
  <si>
    <t>Pmt Rev Princip -Grp</t>
  </si>
  <si>
    <t>Pmt Rev Partial Prn</t>
  </si>
  <si>
    <t>Pmt Rev Par Prn -Grp</t>
  </si>
  <si>
    <t>Susp Prin Rev-Indiv</t>
  </si>
  <si>
    <t>Susp Prin Rev-Group</t>
  </si>
  <si>
    <t>Pmt Rev Interest</t>
  </si>
  <si>
    <t>Pmt Rev Interest-Grp</t>
  </si>
  <si>
    <t>Susp Int Rev - Indiv</t>
  </si>
  <si>
    <t>Susp Int Rev - Group</t>
  </si>
  <si>
    <t>Pmt Rev Late Charge</t>
  </si>
  <si>
    <t>Pmt Rev Late Chg-Grp</t>
  </si>
  <si>
    <t>Pmt Rev Coll Charge</t>
  </si>
  <si>
    <t>Pmt Rev Coll Chg-Grp</t>
  </si>
  <si>
    <t>Pmt Rev Assump Chg</t>
  </si>
  <si>
    <t>Pmt Rev Assump  -Grp</t>
  </si>
  <si>
    <t>Pmt Rev Property Tax</t>
  </si>
  <si>
    <t>Pmt Rev Prop Tax-Grp</t>
  </si>
  <si>
    <t>Pmt Rev Legal Charge</t>
  </si>
  <si>
    <t>Pmt Rev Legal Ch-Grp</t>
  </si>
  <si>
    <t>Pmt Rev Pmt Extensn</t>
  </si>
  <si>
    <t>Pmt Rev Pmt Extn-Grp</t>
  </si>
  <si>
    <t>Pmt Rev Itc Charge</t>
  </si>
  <si>
    <t>Pmt Rev Itc Chg -Grp</t>
  </si>
  <si>
    <t>Pmt Rev Fhut</t>
  </si>
  <si>
    <t>Pmt Rev Fhut    -Grp</t>
  </si>
  <si>
    <t>Pmt Rev Rewrite</t>
  </si>
  <si>
    <t>Pmt Rev Rewrite -Grp</t>
  </si>
  <si>
    <t>Pmt Rev Lse Extensn</t>
  </si>
  <si>
    <t>Pmt Rev Lse Extn-Grp</t>
  </si>
  <si>
    <t>Pmt Rev Other Charge</t>
  </si>
  <si>
    <t>Pmt Rev Other Ch-Grp</t>
  </si>
  <si>
    <t>Pmt Rev Use Tax -Ind</t>
  </si>
  <si>
    <t>Pmt Rev Use Tax -Grp</t>
  </si>
  <si>
    <t>Pre-Payment Reversal</t>
  </si>
  <si>
    <t>Pre-Payment Rev -Grp</t>
  </si>
  <si>
    <t>Cap Reduc Rev   -Ind</t>
  </si>
  <si>
    <t>Cap Reduc Rev   -Grp</t>
  </si>
  <si>
    <t>Pro-Rate Pmt Rev-Ind</t>
  </si>
  <si>
    <t>Pro-Rate Pmt Rev-Grp</t>
  </si>
  <si>
    <t>Security Dep Rev-Ind</t>
  </si>
  <si>
    <t>Security Dep Rev-Grp</t>
  </si>
  <si>
    <t>Vndr Rec Pmt Rev-Ind</t>
  </si>
  <si>
    <t>Vndr Rec Pmt Rev-Grp</t>
  </si>
  <si>
    <t>Rcr Chg 1 Pmt Rev-In</t>
  </si>
  <si>
    <t>Rcr Chg 1 Pmt Rev-Gr</t>
  </si>
  <si>
    <t>Rcr Chg 2 Pmt Rev-In</t>
  </si>
  <si>
    <t>Rcr Chg 2 Pmt Rev-Gr</t>
  </si>
  <si>
    <t>Rcr Chg 3 Pmt Rev-In</t>
  </si>
  <si>
    <t>Rcr Chg 3 Pmt Rev-Gr</t>
  </si>
  <si>
    <t>Pmt Extension Tax</t>
  </si>
  <si>
    <t>Pmt Extnsn Tax - Grp</t>
  </si>
  <si>
    <t>Pmt Extnsn Tax - Rev</t>
  </si>
  <si>
    <t>Pmt Ext Tax Rv - Grp</t>
  </si>
  <si>
    <t>Payment Extension</t>
  </si>
  <si>
    <t>Pmt Extension - Grp</t>
  </si>
  <si>
    <t>Pmt Extension - Rev</t>
  </si>
  <si>
    <t>Pmt Extension Rv-Grp</t>
  </si>
  <si>
    <t>Ibl Payment Rev</t>
  </si>
  <si>
    <t>Ibl Prn Paydown Rev</t>
  </si>
  <si>
    <t>Ibl Int Cr Rev</t>
  </si>
  <si>
    <t>Ibl Cash Payment Rev</t>
  </si>
  <si>
    <t>Ibl Susp Payment Rev</t>
  </si>
  <si>
    <t>Ibl Pmt Rev - Int</t>
  </si>
  <si>
    <t>Ibl Pmt Rev - Prn</t>
  </si>
  <si>
    <t>Ibl Prn Write-Dn Rev</t>
  </si>
  <si>
    <t>Ibl Pmt Rev-Susp Int</t>
  </si>
  <si>
    <t>Ibl Pmt Rev-Susp Prn</t>
  </si>
  <si>
    <t>Ibl Prn Write-Up Rev</t>
  </si>
  <si>
    <t>Proceed Sale Reposs</t>
  </si>
  <si>
    <t>Prcd Sal Rev Reposs</t>
  </si>
  <si>
    <t>Proceed Sale Mat Lse</t>
  </si>
  <si>
    <t>Prcd Sal Rev Mat Lse</t>
  </si>
  <si>
    <t>Note Paymnt Reversal</t>
  </si>
  <si>
    <t>Note Prin Change</t>
  </si>
  <si>
    <t>Note Adjustment</t>
  </si>
  <si>
    <t>Payoff Early</t>
  </si>
  <si>
    <t>Payoff Maturity</t>
  </si>
  <si>
    <t>Payoff Rescission</t>
  </si>
  <si>
    <t>Payoff Ins Settlemnt</t>
  </si>
  <si>
    <t>Payoff Early-Asset</t>
  </si>
  <si>
    <t>Payoff Maturity-Asst</t>
  </si>
  <si>
    <t>Payoff Rescssn-Asset</t>
  </si>
  <si>
    <t>Payoff Ins Setl-Asst</t>
  </si>
  <si>
    <t>Termin Early</t>
  </si>
  <si>
    <t>Termin Maturity</t>
  </si>
  <si>
    <t>Termin Rescission</t>
  </si>
  <si>
    <t>Termin Ins Settlment</t>
  </si>
  <si>
    <t>Termin Early-Asset</t>
  </si>
  <si>
    <t>Termin Maturity-Asst</t>
  </si>
  <si>
    <t>Termin Rescssn-Asset</t>
  </si>
  <si>
    <t>Termin Ins Setl-Asst</t>
  </si>
  <si>
    <t>Chgoff Vol Reposessn</t>
  </si>
  <si>
    <t>Chgoff Invol Repossn</t>
  </si>
  <si>
    <t>Chgoff Skip</t>
  </si>
  <si>
    <t>Chgoff Vol Repo-Asst</t>
  </si>
  <si>
    <t>Chgoff Inv Repo-Asst</t>
  </si>
  <si>
    <t>Chgoff Skip-Asset</t>
  </si>
  <si>
    <t>Sale Asset In Invent</t>
  </si>
  <si>
    <t>Lease Discount</t>
  </si>
  <si>
    <t>Note Payable Payoff</t>
  </si>
  <si>
    <t>Termin Vol Reposessn</t>
  </si>
  <si>
    <t>Termin Invol Repossn</t>
  </si>
  <si>
    <t>Termin Skip</t>
  </si>
  <si>
    <t>Termin Vol Repo-Asst</t>
  </si>
  <si>
    <t>Termin Inv Repo-Asst</t>
  </si>
  <si>
    <t>Termin Skip-Asset</t>
  </si>
  <si>
    <t>Pyof Rev Early</t>
  </si>
  <si>
    <t>Pyof Rev Maturity</t>
  </si>
  <si>
    <t>Pyof Rev Rescission</t>
  </si>
  <si>
    <t>Pyof Rev Ins Settle</t>
  </si>
  <si>
    <t>Pyof Rev Early-Asset</t>
  </si>
  <si>
    <t>Pyof Rev Matur-Asset</t>
  </si>
  <si>
    <t>Pyof Rev Rescis-Asst</t>
  </si>
  <si>
    <t>Pyof Rev Ins Setl-As</t>
  </si>
  <si>
    <t>Term Rev Early</t>
  </si>
  <si>
    <t>Term Rev Maturity</t>
  </si>
  <si>
    <t>Term Rev Rescission</t>
  </si>
  <si>
    <t>Term Rev Ins Settle</t>
  </si>
  <si>
    <t>Term Rev Early-Asset</t>
  </si>
  <si>
    <t>Term Rev Matur-Asset</t>
  </si>
  <si>
    <t>Term Rev Rescis-Asst</t>
  </si>
  <si>
    <t>Term Rev Ins Setl-As</t>
  </si>
  <si>
    <t>Pyof Rev Vol Repos</t>
  </si>
  <si>
    <t>Pyof Rev Invol Repos</t>
  </si>
  <si>
    <t>Pyof Rev Skip</t>
  </si>
  <si>
    <t>Pyof Rev Vol Repo-As</t>
  </si>
  <si>
    <t>Pyof Rev Inv Repo-As</t>
  </si>
  <si>
    <t>Pyof Rev Skip-Asset</t>
  </si>
  <si>
    <t>Reverse Sale</t>
  </si>
  <si>
    <t>Note Payoff Reversal</t>
  </si>
  <si>
    <t>Term Rev Vol Repos</t>
  </si>
  <si>
    <t>Term Rev Invol Repos</t>
  </si>
  <si>
    <t>Term Rev Skip</t>
  </si>
  <si>
    <t>Term Rev Vol Repo-As</t>
  </si>
  <si>
    <t>Term Rev Inv Repo-As</t>
  </si>
  <si>
    <t>Term Rev Skip-Asset</t>
  </si>
  <si>
    <t>Assess Late Charge</t>
  </si>
  <si>
    <t>Assess Coll Charge</t>
  </si>
  <si>
    <t>Assess Assump Charge</t>
  </si>
  <si>
    <t>Assess Property Tax</t>
  </si>
  <si>
    <t>Assess Legal Fee</t>
  </si>
  <si>
    <t>Assess Pmt Extension</t>
  </si>
  <si>
    <t>Assess Lse Extension</t>
  </si>
  <si>
    <t>Assess Itc Charge</t>
  </si>
  <si>
    <t>Assess Fhut</t>
  </si>
  <si>
    <t>Assess Rewrite Charg</t>
  </si>
  <si>
    <t>Assess Other Charge</t>
  </si>
  <si>
    <t>Assess Use Tax</t>
  </si>
  <si>
    <t>Rcr Chg 1 Assessment</t>
  </si>
  <si>
    <t>Rcr Chg 2 Assessment</t>
  </si>
  <si>
    <t>Rcr Chg 3 Assessment</t>
  </si>
  <si>
    <t>Waiver Late Charge</t>
  </si>
  <si>
    <t>Waiver Coll Charge</t>
  </si>
  <si>
    <t>Waiver Assump Charge</t>
  </si>
  <si>
    <t>Waiver Property Tax</t>
  </si>
  <si>
    <t>Waiver Legal Fee</t>
  </si>
  <si>
    <t>Waiver Pmt Extension</t>
  </si>
  <si>
    <t>Waiver Lse Extension</t>
  </si>
  <si>
    <t>Waiver Itc Charge</t>
  </si>
  <si>
    <t>Waiver Fhut</t>
  </si>
  <si>
    <t>Waiver Rewrite Charg</t>
  </si>
  <si>
    <t>Waiver Other Charge</t>
  </si>
  <si>
    <t>Waiver Use Tax</t>
  </si>
  <si>
    <t>Rcr Chg 1 Waiver</t>
  </si>
  <si>
    <t>Rcr Chg 2 Waiver</t>
  </si>
  <si>
    <t>Rcr Chg 3 Waiver</t>
  </si>
  <si>
    <t>Cash To Accrual Adj</t>
  </si>
  <si>
    <t>Accrual To Cash Adj</t>
  </si>
  <si>
    <t>Rcr Chg 4 Pmt Ind</t>
  </si>
  <si>
    <t>Rcr Chg 4 Pmt Grp</t>
  </si>
  <si>
    <t>Rcr Chg 5 Pmt Ind</t>
  </si>
  <si>
    <t>Rcr Chg 5 Pmt Grp</t>
  </si>
  <si>
    <t>Rcr Chg 6 Pmt Ind</t>
  </si>
  <si>
    <t>Rcr Chg 6 Pmt Grp</t>
  </si>
  <si>
    <t>Rcr Chg 7 Pmt Ind</t>
  </si>
  <si>
    <t>Rcr Chg 7 Pmt Grp</t>
  </si>
  <si>
    <t>Rcr Chg 8 Pmt Ind</t>
  </si>
  <si>
    <t>Rcr Chg 8 Pmt Grp</t>
  </si>
  <si>
    <t>Rcr Chg 9 Pmt Ind</t>
  </si>
  <si>
    <t>Rcr Chg 9 Pmt Grp</t>
  </si>
  <si>
    <t>Rcr Chg 10 Pmt Ind</t>
  </si>
  <si>
    <t>Rcr Chg 10 Pmt Grp</t>
  </si>
  <si>
    <t>Rcr Chg 11 Pmt Ind</t>
  </si>
  <si>
    <t>Rcr Chg 11 Pmt Grp</t>
  </si>
  <si>
    <t>Rcr Chg 12 Pmt Ind</t>
  </si>
  <si>
    <t>Rcr Chg 12 Pmt Grp</t>
  </si>
  <si>
    <t>Rcr Chg 13 Pmt Ind</t>
  </si>
  <si>
    <t>Rcr Chg 13 Pmt Grp</t>
  </si>
  <si>
    <t>Rcr Chg 14 Pmt Ind</t>
  </si>
  <si>
    <t>Rcr Chg 14 Pmt Grp</t>
  </si>
  <si>
    <t>Rcr Chg 15 Pmt Ind</t>
  </si>
  <si>
    <t>Rcr Chg 15 Pmt Grp</t>
  </si>
  <si>
    <t>Idr2 Reg Fee Pmt Ind</t>
  </si>
  <si>
    <t>Idr2 Reg Fee Pmt Grp</t>
  </si>
  <si>
    <t>Idr4 Opn Com Pmt Ind</t>
  </si>
  <si>
    <t>Idr4 Opn Com Pmt Grp</t>
  </si>
  <si>
    <t>Prpmt - Rcr 4 Ind</t>
  </si>
  <si>
    <t>Prpmt - Rcr 4 Group</t>
  </si>
  <si>
    <t>Prpmt - Rcr 5 Ind</t>
  </si>
  <si>
    <t>Prpmt - Rcr 5 Group</t>
  </si>
  <si>
    <t>Prpmt - Rcr 6 Ind</t>
  </si>
  <si>
    <t>Prpmt - Rcr 6 Group</t>
  </si>
  <si>
    <t>Prpmt - Rcr 7 Ind</t>
  </si>
  <si>
    <t>Prpmt - Rcr 7 Group</t>
  </si>
  <si>
    <t>Prpmt - Rcr 8 Ind</t>
  </si>
  <si>
    <t>Prpmt - Rcr 8 Group</t>
  </si>
  <si>
    <t>Prpmt - Rcr 9 Ind</t>
  </si>
  <si>
    <t>Prpmt - Rcr 9 Group</t>
  </si>
  <si>
    <t>Prpmt - Rcr 10 Ind</t>
  </si>
  <si>
    <t>Prpmt - Rcr 10 Group</t>
  </si>
  <si>
    <t>Prpmt - Rcr 11 Ind</t>
  </si>
  <si>
    <t>Prpmt - Rcr 11 Group</t>
  </si>
  <si>
    <t>Prpmt - Rcr 12 Ind</t>
  </si>
  <si>
    <t>Prpmt - Rcr 12 Group</t>
  </si>
  <si>
    <t>Prpmt - Rcr 13 Ind</t>
  </si>
  <si>
    <t>Prpmt - Rcr 13 Group</t>
  </si>
  <si>
    <t>Prpmt - Rcr 14 Ind</t>
  </si>
  <si>
    <t>Prpmt - Rcr 14 Group</t>
  </si>
  <si>
    <t>Prpmt - Rcr 15 Ind</t>
  </si>
  <si>
    <t>Prpmt - Rcr 15 Group</t>
  </si>
  <si>
    <t>Reverse Payable</t>
  </si>
  <si>
    <t>Rcr Chg 4 Pmt Rev-In</t>
  </si>
  <si>
    <t>cash</t>
  </si>
  <si>
    <t>Rcr Chg 4 Pmt Rev-Gr</t>
  </si>
  <si>
    <t>Rcr Chg 5 Pmt Rev-In</t>
  </si>
  <si>
    <t>Rcr Chg 5 Pmt Rev-Gr</t>
  </si>
  <si>
    <t>Rcr Chg 6 Pmt Rev-In</t>
  </si>
  <si>
    <t>Rcr Chg 6 Pmt Rev-Gr</t>
  </si>
  <si>
    <t>Rcr Chg 7 Pmt Rev-In</t>
  </si>
  <si>
    <t>Rcr Chg 7 Pmt Rev-Gr</t>
  </si>
  <si>
    <t>Rcr Chg 8 Pmt Rev-In</t>
  </si>
  <si>
    <t>Rcr Chg 8 Pmt Rev-Gr</t>
  </si>
  <si>
    <t>Rcr Chg 9 Pmt Rev-In</t>
  </si>
  <si>
    <t>Rcr Chg 9 Pmt Rev-Gr</t>
  </si>
  <si>
    <t>Rcr Chg 10 Pmt Rv-In</t>
  </si>
  <si>
    <t>Rcr Chg 10 Pmt Rv-Gr</t>
  </si>
  <si>
    <t>Rcr Chg 11 Pmt Rv-In</t>
  </si>
  <si>
    <t>Rcr Chg 11 Pmt Rv-Gr</t>
  </si>
  <si>
    <t>Rcr Chg 12 Pmt Rv-In</t>
  </si>
  <si>
    <t>Rcr Chg 12 Pmt Rv-Gr</t>
  </si>
  <si>
    <t>Rcr Chg 13 Pmt Rv-In</t>
  </si>
  <si>
    <t>Rcr Chg 13 Pmt Rv-Gr</t>
  </si>
  <si>
    <t>Rcr Chg 14 Pmt Rv-In</t>
  </si>
  <si>
    <t>Rcr Chg 14 Pmt Rv-Gr</t>
  </si>
  <si>
    <t>Rcr Chg 15 Pmt Rv-In</t>
  </si>
  <si>
    <t>Rcr Chg 15 Pmt Rv-Gr</t>
  </si>
  <si>
    <t>Idr2 Reg Fee Pmt Rvi</t>
  </si>
  <si>
    <t>Idr2 Reg Fee Pmt Rvg</t>
  </si>
  <si>
    <t>Idr4 Opn Com Pmt Rvi</t>
  </si>
  <si>
    <t>Idr4 Opn Com Pmt Rvg</t>
  </si>
  <si>
    <t>Rcr Chg 4 Assessmnt</t>
  </si>
  <si>
    <t>Rcr Chg 5 Assessmnt</t>
  </si>
  <si>
    <t>Rcr Chg 6 Assessmnt</t>
  </si>
  <si>
    <t>Rcr Chg 7 Assessmnt</t>
  </si>
  <si>
    <t>Rcr Chg 8 Assessmnt</t>
  </si>
  <si>
    <t>Rcr Chg 9 Assessmnt</t>
  </si>
  <si>
    <t>Rcr Chg 10 Assessmnt</t>
  </si>
  <si>
    <t>Rcr Chg 11 Assessmnt</t>
  </si>
  <si>
    <t>Rcr Chg 12 Assessmnt</t>
  </si>
  <si>
    <t>Rcr Chg 13 Assessmnt</t>
  </si>
  <si>
    <t>Rcr Chg 14 Assessmnt</t>
  </si>
  <si>
    <t>Rcr Chg 15 Assessmnt</t>
  </si>
  <si>
    <t>Rcr Chg 4 Waiver</t>
  </si>
  <si>
    <t>Rcr Chg 5 Waiver</t>
  </si>
  <si>
    <t>Rcr Chg 6 Waiver</t>
  </si>
  <si>
    <t>Rcr Chg 7 Waiver</t>
  </si>
  <si>
    <t>Rcr Chg 8 Waiver</t>
  </si>
  <si>
    <t>Rcr Chg 9 Waiver</t>
  </si>
  <si>
    <t>Rcr Chg 10 Waiver</t>
  </si>
  <si>
    <t>Rcr Chg 11 Waiver</t>
  </si>
  <si>
    <t>Rcr Chg 12 Waiver</t>
  </si>
  <si>
    <t>Rcr Chg 13 Waiver</t>
  </si>
  <si>
    <t>Rcr Chg 14 Waiver</t>
  </si>
  <si>
    <t>Rcr Chg 15 Waiver</t>
  </si>
  <si>
    <t>Rcr Chg 4 Disbursal</t>
  </si>
  <si>
    <t>Rcr Chg 5 Disbursal</t>
  </si>
  <si>
    <t>Rcr Chg 6 Disbursal</t>
  </si>
  <si>
    <t>Rcr Chg 7 Disbursal</t>
  </si>
  <si>
    <t>Rcr Chg 8 Disbursal</t>
  </si>
  <si>
    <t>Rcr Chg 9 Disbursal</t>
  </si>
  <si>
    <t>Rcr Chg 10 Disbursl</t>
  </si>
  <si>
    <t>Rcr Chg 11 Disbursl</t>
  </si>
  <si>
    <t>Rcr Chg 12 Disbursl</t>
  </si>
  <si>
    <t>Rcr Chg 13 Disbursl</t>
  </si>
  <si>
    <t>Rcr Chg 14 Disbursl</t>
  </si>
  <si>
    <t>Rcr Chg 15 Disbursl</t>
  </si>
  <si>
    <t>Suspense Cr</t>
  </si>
  <si>
    <t>Suspense Dr</t>
  </si>
  <si>
    <t>Accounts Payable Dr</t>
  </si>
  <si>
    <t>Clear Susp Via G/L</t>
  </si>
  <si>
    <t>Depreciation Expense</t>
  </si>
  <si>
    <t>Commission Fee Paybl</t>
  </si>
  <si>
    <t>Write Down Asst Invn</t>
  </si>
  <si>
    <t>Adjust Equipmnt Cost</t>
  </si>
  <si>
    <t>Idc1 Ins Prem Payabl</t>
  </si>
  <si>
    <t>Idc2 Notry Fee Paybl</t>
  </si>
  <si>
    <t>Use Tax Disbursal</t>
  </si>
  <si>
    <t>Vendor Reserve Paybl</t>
  </si>
  <si>
    <t>Property Tx Disbursl</t>
  </si>
  <si>
    <t>Fhut Disbursal</t>
  </si>
  <si>
    <t>Refund Prin Rec</t>
  </si>
  <si>
    <t>Invoice Prin Rec</t>
  </si>
  <si>
    <t>Rcr Chg 1 Disbursal</t>
  </si>
  <si>
    <t>Rcr Chg 2 Disbursal</t>
  </si>
  <si>
    <t>Rcr Chg 3 Disbursal</t>
  </si>
  <si>
    <t>Investor Partic Disb</t>
  </si>
  <si>
    <t>Tax Model Adjustment</t>
  </si>
  <si>
    <t>Suspend Earnings</t>
  </si>
  <si>
    <t>Reinstate Earnings</t>
  </si>
  <si>
    <t>Settlement Payable</t>
  </si>
  <si>
    <t>Settl Payable Rev</t>
  </si>
  <si>
    <t>Investor Settlement</t>
  </si>
  <si>
    <t>Settlement Reversal</t>
  </si>
  <si>
    <t>Chg Lease  (Old Key)</t>
  </si>
  <si>
    <t>Chg Lease  (New Key)</t>
  </si>
  <si>
    <t>Chg Asset  (Old Key)</t>
  </si>
  <si>
    <t>Chg Asset  (New Key)</t>
  </si>
  <si>
    <t>Change Note Key Old</t>
  </si>
  <si>
    <t>Change Note Key New</t>
  </si>
  <si>
    <t>Lease Rewrite</t>
  </si>
  <si>
    <t>G/L Adjustment</t>
  </si>
  <si>
    <t>Pre Pmt -Nrm Pmt Ind</t>
  </si>
  <si>
    <t>Pre Pmt -Nrm Pmt Grp</t>
  </si>
  <si>
    <t>Pre Pmt -Par Pmt Ind</t>
  </si>
  <si>
    <t>Pre Pmt -Par Pmt Grp</t>
  </si>
  <si>
    <t>Pre Pmt -Nrm Prn Ind</t>
  </si>
  <si>
    <t>Pre Pmt -Nrm Prn Grp</t>
  </si>
  <si>
    <t>Pre Pmt -Par Prn Ind</t>
  </si>
  <si>
    <t>Pre Pmt -Par Prn Grp</t>
  </si>
  <si>
    <t>Pre Pmt -Int Pmt Ind</t>
  </si>
  <si>
    <t>Pre Pmt -Int Pmt Grp</t>
  </si>
  <si>
    <t>Pre Pmt -Cap Red Ind</t>
  </si>
  <si>
    <t>Pre Pmt -Cap Red Grp</t>
  </si>
  <si>
    <t>Pre Pmt -Pro Pmt Ind</t>
  </si>
  <si>
    <t>Pre Pmt -Pro Pmt Grp</t>
  </si>
  <si>
    <t>Pre Pmt -Sec Dep Ind</t>
  </si>
  <si>
    <t>Pre Pmt -Sec Dep Grp</t>
  </si>
  <si>
    <t>Field Name</t>
  </si>
  <si>
    <t>Field Description</t>
  </si>
  <si>
    <t>Vector</t>
  </si>
  <si>
    <t xml:space="preserve">Clearing                                        </t>
  </si>
  <si>
    <t xml:space="preserve">Cash                                            </t>
  </si>
  <si>
    <t xml:space="preserve">Contract Receivable </t>
  </si>
  <si>
    <t xml:space="preserve">Lease Payments Receivable </t>
  </si>
  <si>
    <t>Unguaranteed Residual - Precomputed</t>
  </si>
  <si>
    <t xml:space="preserve">Lease Income Receivable                        </t>
  </si>
  <si>
    <t xml:space="preserve">Unearned Residual Income                       </t>
  </si>
  <si>
    <t xml:space="preserve">Unearned Income                                </t>
  </si>
  <si>
    <t xml:space="preserve">Unearned ITC                                   </t>
  </si>
  <si>
    <t xml:space="preserve">Vendor Participation Unearned                  </t>
  </si>
  <si>
    <t xml:space="preserve">Investor Participation Unearned                </t>
  </si>
  <si>
    <t xml:space="preserve">Assessed Fees                                  </t>
  </si>
  <si>
    <t xml:space="preserve">Assessment Receivable - Late Charges           </t>
  </si>
  <si>
    <t xml:space="preserve">Assessment Receivable - Collection Fees        </t>
  </si>
  <si>
    <t xml:space="preserve">Assessment Receivable - Assumption Fees        </t>
  </si>
  <si>
    <t xml:space="preserve">Assessment Receivable - Property Tax           </t>
  </si>
  <si>
    <t xml:space="preserve">Assessment Receivable - Legal Fees             </t>
  </si>
  <si>
    <t xml:space="preserve">Assessment Receivable - Payment Extensions     </t>
  </si>
  <si>
    <t xml:space="preserve">Assessment Receivable - ITC Fees               </t>
  </si>
  <si>
    <t xml:space="preserve">Assessment Receivable - FHUT                   </t>
  </si>
  <si>
    <t xml:space="preserve">Assessment Receivable - Lease Rewrite Fees     </t>
  </si>
  <si>
    <t xml:space="preserve">Assessment Receivable - Lease Extension        </t>
  </si>
  <si>
    <t xml:space="preserve">Assessment Receivable - Other Fees             </t>
  </si>
  <si>
    <t xml:space="preserve">Principal Outstanding                          </t>
  </si>
  <si>
    <t>Residual - Simple</t>
  </si>
  <si>
    <t xml:space="preserve">Leased Equipment                                   </t>
  </si>
  <si>
    <t>Unbilled Operating Lease Receivable</t>
  </si>
  <si>
    <t>Inventory</t>
  </si>
  <si>
    <t>Lease Disbursal Pending</t>
  </si>
  <si>
    <t>Advance Payments Pending</t>
  </si>
  <si>
    <t>Proceeds of Sale</t>
  </si>
  <si>
    <t>Deferred Charge</t>
  </si>
  <si>
    <t>Deferred ITC</t>
  </si>
  <si>
    <t>Revenue</t>
  </si>
  <si>
    <t>Unamortized IDC Cost</t>
  </si>
  <si>
    <t>Vendor Receivable</t>
  </si>
  <si>
    <t xml:space="preserve">Assessment Receivable - Recurring Charge 1   </t>
  </si>
  <si>
    <t>Assessment Receivable - Recurring Charge 2</t>
  </si>
  <si>
    <t>Assessment Receivable - Recurring Charge 3</t>
  </si>
  <si>
    <t>Loan Principal Receivable</t>
  </si>
  <si>
    <t>Loan Interest Receivable</t>
  </si>
  <si>
    <t>Assessment Receivable - Use Tax</t>
  </si>
  <si>
    <t>LD Receivable</t>
  </si>
  <si>
    <t>Suspended IDC Accrued</t>
  </si>
  <si>
    <t>Accounts Payable</t>
  </si>
  <si>
    <t>Vendor Participation Payable</t>
  </si>
  <si>
    <t>Investor Participation Payable</t>
  </si>
  <si>
    <t>Use Tax Payable</t>
  </si>
  <si>
    <t>Security Deposit Payable</t>
  </si>
  <si>
    <t>Contingent Rent Loss Payable</t>
  </si>
  <si>
    <t>Taxes Payable</t>
  </si>
  <si>
    <t>Assessments Payable - Property Tax</t>
  </si>
  <si>
    <t>Assessments Payable - FHUT</t>
  </si>
  <si>
    <t>Deferred operating lease revenue</t>
  </si>
  <si>
    <t>Note Principal Outstanding Payable</t>
  </si>
  <si>
    <t>Note Principal Payable</t>
  </si>
  <si>
    <t>Note Interest Payable</t>
  </si>
  <si>
    <t>Deferred Settlement</t>
  </si>
  <si>
    <t>Deferred Extension Income</t>
  </si>
  <si>
    <t>Deferred Residual Reduction</t>
  </si>
  <si>
    <t>Lease Discounting Principal</t>
  </si>
  <si>
    <t>Commission Fees Payable</t>
  </si>
  <si>
    <t>Insurance Premuim Payable</t>
  </si>
  <si>
    <t>IDC2 - Notary Fee Payable</t>
  </si>
  <si>
    <t>Assessment Income/Payable - Recurring Charge 1</t>
  </si>
  <si>
    <t>Assessment Income/Payable - Recurring Charge 2</t>
  </si>
  <si>
    <t>Assessment Income/Payable - Recurring Charge 3</t>
  </si>
  <si>
    <t>Lessor Income - Precomputed</t>
  </si>
  <si>
    <t xml:space="preserve">Lessor Income - Simple </t>
  </si>
  <si>
    <t>Operating Lease Income</t>
  </si>
  <si>
    <t>Unbilled Operating Lease Income</t>
  </si>
  <si>
    <t>Residual Income</t>
  </si>
  <si>
    <t>Other Charges</t>
  </si>
  <si>
    <t>In-house Fees</t>
  </si>
  <si>
    <t>Documentation Fees</t>
  </si>
  <si>
    <t>Termination Fees</t>
  </si>
  <si>
    <t xml:space="preserve">Interest Fees </t>
  </si>
  <si>
    <t>Assessment Income - Late Charges</t>
  </si>
  <si>
    <t>Assessment Income - Collection Fees</t>
  </si>
  <si>
    <t>Assessment Income - Assumption Fees</t>
  </si>
  <si>
    <t>Assessment Income - Legal Fees</t>
  </si>
  <si>
    <t>Assessment Income - Payment Extensions</t>
  </si>
  <si>
    <t>Assessment Income - ITC Fees</t>
  </si>
  <si>
    <t>Assessment Income - Lease Rewrite Fees</t>
  </si>
  <si>
    <t>Assessment Income - Lease Extension</t>
  </si>
  <si>
    <t>Assessment Income - Other Fees</t>
  </si>
  <si>
    <t xml:space="preserve">Gain on Sale of Equipment                    </t>
  </si>
  <si>
    <t>Bad Debt Income</t>
  </si>
  <si>
    <t>ITC Income</t>
  </si>
  <si>
    <t>IDC Offset</t>
  </si>
  <si>
    <t>Interest Adjustment</t>
  </si>
  <si>
    <t>Loss on Sale or Termination</t>
  </si>
  <si>
    <t>Contingent Rent Loss</t>
  </si>
  <si>
    <t>Initial Direct Cost Expense</t>
  </si>
  <si>
    <t xml:space="preserve">Depreciation Expense </t>
  </si>
  <si>
    <t>Reserve for Recapture Expense</t>
  </si>
  <si>
    <t>Allowance for Bad Debt</t>
  </si>
  <si>
    <t xml:space="preserve">Accumulated Depreciation </t>
  </si>
  <si>
    <t>Bad Debt Expense</t>
  </si>
  <si>
    <t>IDC Amortization</t>
  </si>
  <si>
    <t>Property Tax Expense</t>
  </si>
  <si>
    <t>Federal Highway Use Tax Expense</t>
  </si>
  <si>
    <t>Note Interest Expense</t>
  </si>
  <si>
    <t>Settlement Expense</t>
  </si>
  <si>
    <t>Cash 125 - Lockbox</t>
  </si>
  <si>
    <t>Cash 128</t>
  </si>
  <si>
    <t>Cash 129</t>
  </si>
  <si>
    <t>Cash 130</t>
  </si>
  <si>
    <t>Cash 131</t>
  </si>
  <si>
    <t>Cash 132</t>
  </si>
  <si>
    <t>Cash 133</t>
  </si>
  <si>
    <t>Cash 134</t>
  </si>
  <si>
    <t>Cash 135</t>
  </si>
  <si>
    <t>Cash 136</t>
  </si>
  <si>
    <t>Cash 137</t>
  </si>
  <si>
    <t>Cash 138</t>
  </si>
  <si>
    <t>Cash 139</t>
  </si>
  <si>
    <t>Cash 140</t>
  </si>
  <si>
    <t>Cash 141</t>
  </si>
  <si>
    <t>Cash 142</t>
  </si>
  <si>
    <t>Cash 143</t>
  </si>
  <si>
    <t>Cash 144</t>
  </si>
  <si>
    <t>Assessment Receivable - Recurring Charge 4</t>
  </si>
  <si>
    <t>Assessment Receivable - Recurring Charge 5</t>
  </si>
  <si>
    <t>Assessment Receivable - Recurring Charge 6</t>
  </si>
  <si>
    <t>Assessment Receivable - Recurring Charge 7</t>
  </si>
  <si>
    <t>Assessment Receivable - Recurring Charge 8</t>
  </si>
  <si>
    <t>Assessment Receivable - Recurring Charge 9</t>
  </si>
  <si>
    <t>Assessment Receivable - Recurring Charge 10</t>
  </si>
  <si>
    <t>Assessment Receivable - Recurring Charge 11</t>
  </si>
  <si>
    <t>Assessment Receivable - Recurring Charge 12</t>
  </si>
  <si>
    <t>Assessment Receivable - Recurring Charge 13</t>
  </si>
  <si>
    <t>Assessment Receivable - Recurring Charge 14</t>
  </si>
  <si>
    <t>Assessment Receivable - Recurring Charge 15</t>
  </si>
  <si>
    <t xml:space="preserve">Assessment Income/Payable - Recurring Charge 4   </t>
  </si>
  <si>
    <t xml:space="preserve">Assessment Income/Payable - Recurring Charge 5   </t>
  </si>
  <si>
    <t xml:space="preserve">Assessment Income/Payable - Recurring Charge 6   </t>
  </si>
  <si>
    <t xml:space="preserve">Assessment Income/Payable - Recurring Charge 7   </t>
  </si>
  <si>
    <t xml:space="preserve">Assessment Income/Payable - Recurring Charge 8   </t>
  </si>
  <si>
    <t xml:space="preserve">Assessment Income/Payable - Recurring Charge 9   </t>
  </si>
  <si>
    <t>Assessment Income/Payable - Recurring Charge 10</t>
  </si>
  <si>
    <t>Assessment Income/Payable - Recurring Charge 11</t>
  </si>
  <si>
    <t>Assessment Income/Payable - Recurring Charge 12</t>
  </si>
  <si>
    <t>Assessment Income/Payable - Recurring Charge 13</t>
  </si>
  <si>
    <t>Assessment Income/Payable - Recurring Charge 14</t>
  </si>
  <si>
    <t>Assessment Income/Payable - Recurring Charge 15</t>
  </si>
  <si>
    <t>IDC2 - Unamortized Notary Fee</t>
  </si>
  <si>
    <t>IDC2 - Notary Fee Amortization</t>
  </si>
  <si>
    <t>IDC2 - Suspended Notary Fee</t>
  </si>
  <si>
    <t>IDR2 - Reg Fee Receivable</t>
  </si>
  <si>
    <t>IDR2 - Unamortized Reg Fee</t>
  </si>
  <si>
    <t>IDR2 - Reg Fee Income</t>
  </si>
  <si>
    <t>IDR2 - Suspended Reg Fee Income</t>
  </si>
  <si>
    <t>IDR3 - Dlr Subsidy Offset</t>
  </si>
  <si>
    <t>IDR3 - Unamortized  Dlr Subsidy</t>
  </si>
  <si>
    <t>IDR3 - Dlr Subsidy Income</t>
  </si>
  <si>
    <t>IDR3 - Suspended Dlr Subsidy Income</t>
  </si>
  <si>
    <t>IDR4- Opening Commission Receivable</t>
  </si>
  <si>
    <t>IDR4- Unamortized Opening Commission</t>
  </si>
  <si>
    <t>IDR4- Opening Commission Income</t>
  </si>
  <si>
    <t>IDR4- Suspended Opening Commission</t>
  </si>
  <si>
    <t>Funding Disbursement</t>
  </si>
  <si>
    <t>GL Acct No.</t>
  </si>
  <si>
    <t xml:space="preserve">Sales Tax Receivable </t>
  </si>
  <si>
    <t>Reserve for Charge Back</t>
  </si>
  <si>
    <t>IDC1 - Unamortized Insurance Premium</t>
  </si>
  <si>
    <t>IDC1 -  Insurance Premium Amortized</t>
  </si>
  <si>
    <t>IDC1 - Suspended Insurance Premium</t>
  </si>
  <si>
    <t xml:space="preserve">Security deposit, this  is held by the lessor on notes payable which is returned to the lessee once the lessess has fulfilled the contract. It is the same G/L account as that used to record credits for security deposits for leases held by the lessor. </t>
  </si>
  <si>
    <t>Legal Fees</t>
  </si>
  <si>
    <t>Assump Chrges</t>
  </si>
  <si>
    <t>Collection Charges</t>
  </si>
  <si>
    <t>ITC Charge</t>
  </si>
  <si>
    <t>Recurring Charge 1</t>
  </si>
  <si>
    <t>Recurring Charge 2</t>
  </si>
  <si>
    <t>Recurring Charge 3</t>
  </si>
  <si>
    <t>Type of cash application by code</t>
  </si>
  <si>
    <t>Assumption Fees</t>
  </si>
  <si>
    <t>Pmt Extension Fees</t>
  </si>
  <si>
    <t>Lease Extension Fees</t>
  </si>
  <si>
    <t>Lease Re-Write Fees</t>
  </si>
  <si>
    <t>Federal Highway Use Tax Fee</t>
  </si>
  <si>
    <t>Other Fees</t>
  </si>
  <si>
    <t>RCR1</t>
  </si>
  <si>
    <t>RCR2</t>
  </si>
  <si>
    <t>RCR3</t>
  </si>
  <si>
    <t>Deferred Interim Rent/Deferred Lease Fees</t>
  </si>
  <si>
    <t>Funds applied to/from suspense</t>
  </si>
  <si>
    <t>Code</t>
  </si>
  <si>
    <t>3LLD</t>
  </si>
  <si>
    <t>3rd Party Legal Dead</t>
  </si>
  <si>
    <t>3LLL</t>
  </si>
  <si>
    <t>3rd Party Legal</t>
  </si>
  <si>
    <t>AGCY</t>
  </si>
  <si>
    <t>Outside Agency</t>
  </si>
  <si>
    <t>AMEW</t>
  </si>
  <si>
    <t>AMFT</t>
  </si>
  <si>
    <t>AMLM</t>
  </si>
  <si>
    <t>AMMM</t>
  </si>
  <si>
    <t>AMRE</t>
  </si>
  <si>
    <t>AMXA</t>
  </si>
  <si>
    <t>AMXF</t>
  </si>
  <si>
    <t>AMXQ</t>
  </si>
  <si>
    <t>AMXS</t>
  </si>
  <si>
    <t>B1RX</t>
  </si>
  <si>
    <t>B1SX</t>
  </si>
  <si>
    <t>B1XP</t>
  </si>
  <si>
    <t>B1XX</t>
  </si>
  <si>
    <t>B2RX</t>
  </si>
  <si>
    <t>B2SX</t>
  </si>
  <si>
    <t>B2XP</t>
  </si>
  <si>
    <t>B2XX</t>
  </si>
  <si>
    <t>B3RX</t>
  </si>
  <si>
    <t>B3SX</t>
  </si>
  <si>
    <t>B3XP</t>
  </si>
  <si>
    <t>B3XX</t>
  </si>
  <si>
    <t>B7RX</t>
  </si>
  <si>
    <t>B7SX</t>
  </si>
  <si>
    <t>B7XP</t>
  </si>
  <si>
    <t>B7XX</t>
  </si>
  <si>
    <t>CLWG</t>
  </si>
  <si>
    <t>DXXX</t>
  </si>
  <si>
    <t>EXT</t>
  </si>
  <si>
    <t>Account Extended</t>
  </si>
  <si>
    <t>EXTI</t>
  </si>
  <si>
    <t>FIPA</t>
  </si>
  <si>
    <t>GOOD</t>
  </si>
  <si>
    <t>ICLD</t>
  </si>
  <si>
    <t>ICNR</t>
  </si>
  <si>
    <t>IKAT</t>
  </si>
  <si>
    <t>IPXX</t>
  </si>
  <si>
    <t>IRRR</t>
  </si>
  <si>
    <t>IXXX</t>
  </si>
  <si>
    <t>JXXX</t>
  </si>
  <si>
    <t>LJXX</t>
  </si>
  <si>
    <t>LLXX</t>
  </si>
  <si>
    <t>LRXX</t>
  </si>
  <si>
    <t>LSXX</t>
  </si>
  <si>
    <t>LXX1</t>
  </si>
  <si>
    <t>LXX2</t>
  </si>
  <si>
    <t>LXXX</t>
  </si>
  <si>
    <t>MODI</t>
  </si>
  <si>
    <t>MODP</t>
  </si>
  <si>
    <t>RPVX</t>
  </si>
  <si>
    <t>RPXX</t>
  </si>
  <si>
    <t>RXIX</t>
  </si>
  <si>
    <t>RXVX</t>
  </si>
  <si>
    <t>RXXX</t>
  </si>
  <si>
    <t>SKIP</t>
  </si>
  <si>
    <t>SOLD</t>
  </si>
  <si>
    <t>SURX</t>
  </si>
  <si>
    <t>VXX1</t>
  </si>
  <si>
    <t>VXXX</t>
  </si>
  <si>
    <t>XXXX</t>
  </si>
  <si>
    <t>Deficiency Balance</t>
  </si>
  <si>
    <t>Lease Source</t>
  </si>
  <si>
    <t>ACQR</t>
  </si>
  <si>
    <t>BROK</t>
  </si>
  <si>
    <t>DEFB</t>
  </si>
  <si>
    <t>DRCT</t>
  </si>
  <si>
    <t>INDR</t>
  </si>
  <si>
    <t>INET</t>
  </si>
  <si>
    <t>RLSE</t>
  </si>
  <si>
    <t>SALE</t>
  </si>
  <si>
    <r>
      <t>Sale Leaseback</t>
    </r>
    <r>
      <rPr>
        <sz val="8"/>
        <rFont val="Arial"/>
        <family val="2"/>
      </rPr>
      <t>, the equipment is originally owned by a party is sold to the lessor, and concurrently agrees to lease the equipment through an agreement.</t>
    </r>
  </si>
  <si>
    <t>VEND</t>
  </si>
  <si>
    <r>
      <t>Vendor Program</t>
    </r>
    <r>
      <rPr>
        <sz val="8"/>
        <rFont val="Arial"/>
        <family val="2"/>
      </rPr>
      <t xml:space="preserve">, </t>
    </r>
  </si>
  <si>
    <t>Use Tax</t>
  </si>
  <si>
    <t>ALL</t>
  </si>
  <si>
    <t>Tax is paid on the payment stream</t>
  </si>
  <si>
    <t>BOTH</t>
  </si>
  <si>
    <t>Upfront and on stream tax</t>
  </si>
  <si>
    <t>CITY</t>
  </si>
  <si>
    <t>City</t>
  </si>
  <si>
    <t>CNCI</t>
  </si>
  <si>
    <t>County and city</t>
  </si>
  <si>
    <t>CNTY</t>
  </si>
  <si>
    <t>County</t>
  </si>
  <si>
    <t>NOEX</t>
  </si>
  <si>
    <t>No tax, exempt</t>
  </si>
  <si>
    <t>NOPF</t>
  </si>
  <si>
    <t>No tax, paid up front</t>
  </si>
  <si>
    <t>PERM</t>
  </si>
  <si>
    <t>Permanent</t>
  </si>
  <si>
    <t>STAT</t>
  </si>
  <si>
    <t>State</t>
  </si>
  <si>
    <t>STCI</t>
  </si>
  <si>
    <t>State and city</t>
  </si>
  <si>
    <t>STCN</t>
  </si>
  <si>
    <t>State and county</t>
  </si>
  <si>
    <t>Late Charge Code</t>
  </si>
  <si>
    <t>FIX</t>
  </si>
  <si>
    <t xml:space="preserve">FIXED                               </t>
  </si>
  <si>
    <t>NONE</t>
  </si>
  <si>
    <t xml:space="preserve">NONE                                </t>
  </si>
  <si>
    <t>PERC</t>
  </si>
  <si>
    <t xml:space="preserve">PERCENTAGE                          </t>
  </si>
  <si>
    <t>PMAX</t>
  </si>
  <si>
    <t xml:space="preserve">PERCENTAGE WITH MAX                 </t>
  </si>
  <si>
    <t>PMIN</t>
  </si>
  <si>
    <t xml:space="preserve">PERCENTAGE WITH MIN                 </t>
  </si>
  <si>
    <t>PMNX</t>
  </si>
  <si>
    <t xml:space="preserve">PERCENTAGE WITH MIN AND MAX </t>
  </si>
  <si>
    <t>AMER</t>
  </si>
  <si>
    <t>AM - EQUIP RETURNED</t>
  </si>
  <si>
    <t>AM FUL RTN PHNX WKG</t>
  </si>
  <si>
    <t>ASSET MGMT FIRM TERM</t>
  </si>
  <si>
    <t>AM_LEGAL_MDM_HANDLNG</t>
  </si>
  <si>
    <t>AM REC'G PMTS/MONTOR</t>
  </si>
  <si>
    <t>AM RETURN EXPECTED</t>
  </si>
  <si>
    <t>AM SALE AGREEMENT</t>
  </si>
  <si>
    <t>AM FULL SALE</t>
  </si>
  <si>
    <t>ASSET MGMT WORKING</t>
  </si>
  <si>
    <t>AM PART SALE/RETURN</t>
  </si>
  <si>
    <t>BANKO CH 11 / REPO</t>
  </si>
  <si>
    <t>BANKO CH 11 / SOLD</t>
  </si>
  <si>
    <t>BANKO CH 11 / PAYING</t>
  </si>
  <si>
    <t>BANKO CH 11</t>
  </si>
  <si>
    <t>BANKO CH 12 / REPO</t>
  </si>
  <si>
    <t>BANKO CH 12 / SOLD</t>
  </si>
  <si>
    <t>BANKO CH 12 / PAYING</t>
  </si>
  <si>
    <t>BANKO CH 12</t>
  </si>
  <si>
    <t>BANKO CH 13 / REPO</t>
  </si>
  <si>
    <t>BANKO CH 13 / SOLD</t>
  </si>
  <si>
    <t>BANKO CH 13 / PAYING</t>
  </si>
  <si>
    <t>BANKO CH 13</t>
  </si>
  <si>
    <t>BANKO CH 7 / REPO</t>
  </si>
  <si>
    <t>BANKO CH 7 / SOLD</t>
  </si>
  <si>
    <t>BANKO CH 7 / PAYING</t>
  </si>
  <si>
    <t>BANKO CH 7</t>
  </si>
  <si>
    <t>Client Working</t>
  </si>
  <si>
    <t>DECS</t>
  </si>
  <si>
    <t>Deceased Customer</t>
  </si>
  <si>
    <t>DEFICIENCY</t>
  </si>
  <si>
    <t>Extended W/Ins claim</t>
  </si>
  <si>
    <t>Internal Pmt Adjustm</t>
  </si>
  <si>
    <t>NO LONGER COLL ACCT</t>
  </si>
  <si>
    <t>INSURANCE CLAIM CLSD</t>
  </si>
  <si>
    <t>INS CLM NOT REPORTED</t>
  </si>
  <si>
    <t>IEND</t>
  </si>
  <si>
    <t>INS Endorsmt Missing</t>
  </si>
  <si>
    <t>Ins. Catastrophic</t>
  </si>
  <si>
    <t>INS PARTIAL CLAIM</t>
  </si>
  <si>
    <t>INS BEING REPAIRED</t>
  </si>
  <si>
    <t>INSURANCE CLAIM</t>
  </si>
  <si>
    <t>JUDGMENT</t>
  </si>
  <si>
    <t>JDGMT COUNSEL WORKNG</t>
  </si>
  <si>
    <t>LEGAL WORKED BY L&amp;L</t>
  </si>
  <si>
    <t>LEGAL / REPO</t>
  </si>
  <si>
    <t>LEGAL / SOLD</t>
  </si>
  <si>
    <t>COLL CLASSIFICATION</t>
  </si>
  <si>
    <t>LL CLASSIFICATION</t>
  </si>
  <si>
    <t>LEGAL W ATTORNEY</t>
  </si>
  <si>
    <t>MODIFICATION IN PROC</t>
  </si>
  <si>
    <t>MODIFICATION PROCESD</t>
  </si>
  <si>
    <t>PPWO</t>
  </si>
  <si>
    <t>PFSC_handling_wrkout</t>
  </si>
  <si>
    <t>REPO PENDING (VOL)</t>
  </si>
  <si>
    <t>REPO PENDING (INVOL)</t>
  </si>
  <si>
    <t>RW</t>
  </si>
  <si>
    <t>Account Rewritten</t>
  </si>
  <si>
    <t>RWI</t>
  </si>
  <si>
    <t>Rewritten /Ins Claim</t>
  </si>
  <si>
    <t>Repo, Insur Pending</t>
  </si>
  <si>
    <t>REPOSSESSION (VOL)</t>
  </si>
  <si>
    <t>REPOSSESSION (INVOL)</t>
  </si>
  <si>
    <t>SCRA</t>
  </si>
  <si>
    <t>SCRA ACTIVE DUTY</t>
  </si>
  <si>
    <t>UTL SKIPTRC IN PROC</t>
  </si>
  <si>
    <t>Sold to Third Party</t>
  </si>
  <si>
    <t>REPO SOLD WTG LL RES</t>
  </si>
  <si>
    <t>COLL VENDOR RELATED</t>
  </si>
  <si>
    <t>LEGAL VENDOR RELATED</t>
  </si>
  <si>
    <t>MISCELLANEOUS</t>
  </si>
  <si>
    <t>Sale of Asset in Inventory</t>
  </si>
  <si>
    <t>Pre payment of the scheduled payments</t>
  </si>
  <si>
    <t>Payoff of the contract</t>
  </si>
  <si>
    <t>Property Taxes</t>
  </si>
  <si>
    <t>Sales and Use Taxes</t>
  </si>
  <si>
    <t>Charges assessed for late payment</t>
  </si>
  <si>
    <t>Total dollar amount of cash processed - Total of Cash processed and Cash Disbursed-Cleared to zero at the end of the day by the end of period process</t>
  </si>
  <si>
    <t>Broker, an agent who negotiates contracts on another company’s behalf and typically receives a commission for doing so.</t>
  </si>
  <si>
    <t>Direct, the customer contacted the Lessor directly.</t>
  </si>
  <si>
    <t>Acquired</t>
  </si>
  <si>
    <t>Indirect</t>
  </si>
  <si>
    <t>Internet Lead</t>
  </si>
  <si>
    <t>Re-Lease</t>
  </si>
  <si>
    <t>Contract Booking</t>
  </si>
  <si>
    <t>Arrears Residual only</t>
  </si>
  <si>
    <t>NAME</t>
  </si>
  <si>
    <t>DESCRIPTION</t>
  </si>
  <si>
    <t>FHUT</t>
  </si>
  <si>
    <t>IDR</t>
  </si>
  <si>
    <t>IsPayoff</t>
  </si>
  <si>
    <t>IsNonCash</t>
  </si>
  <si>
    <t>IsPastDue</t>
  </si>
  <si>
    <t>IsCashReportTransaction</t>
  </si>
  <si>
    <t>If transaction is related to a payoff will equal 1 otherwise 0</t>
  </si>
  <si>
    <t>If transaction is non cash related will equal 1 otherwise 0</t>
  </si>
  <si>
    <t>If transaction is a past due collection will equal 1 otherwise 0</t>
  </si>
  <si>
    <t>If transaction is a cash related transaction it will equal 1 otherwise 0</t>
  </si>
  <si>
    <t>TRANSACTION AMOUNT</t>
  </si>
  <si>
    <t>Collection Fees</t>
  </si>
  <si>
    <t>Sales Tax</t>
  </si>
  <si>
    <t>Pmt Extension</t>
  </si>
  <si>
    <t>LSE Extension</t>
  </si>
  <si>
    <t>ITC Fees</t>
  </si>
  <si>
    <t>Payment Amount</t>
  </si>
  <si>
    <t>Total payment amount posted</t>
  </si>
  <si>
    <t>Transaction code, how the transaction was applied (payment, payment reversal, sales tax, late fees, etc.</t>
  </si>
  <si>
    <t xml:space="preserve">Amount of the posted Transaction </t>
  </si>
  <si>
    <t>Transaction History Report</t>
  </si>
  <si>
    <t>AccountStatus</t>
  </si>
  <si>
    <t>IsAccountOpen</t>
  </si>
  <si>
    <t>ORIG COST</t>
  </si>
  <si>
    <t>BOOKED INTERIM RENT</t>
  </si>
  <si>
    <t>BOOKED DOWN</t>
  </si>
  <si>
    <t>IDR2_UNAMORT_REG_FEE</t>
  </si>
  <si>
    <t>IDR3_UNAMORT_DLR_SUBSIDY</t>
  </si>
  <si>
    <t>IDC2_SUSP_DLR_FEE</t>
  </si>
  <si>
    <t>IDR2_ORIG_REG_FEE</t>
  </si>
  <si>
    <t>IDR2_SUSP_REG_FEE</t>
  </si>
  <si>
    <t>IDR3_ORIG_DLR_SUBSIDY</t>
  </si>
  <si>
    <t>IDR3_SUSP_DLR_SUBSIDY</t>
  </si>
  <si>
    <t>IDR4_SUSP_OPEN_COMM</t>
  </si>
  <si>
    <t>ROSL</t>
  </si>
  <si>
    <t>ARES</t>
  </si>
  <si>
    <t>AOSL</t>
  </si>
  <si>
    <t>AOPM</t>
  </si>
  <si>
    <t>RVL5</t>
  </si>
  <si>
    <t>RVVE</t>
  </si>
  <si>
    <t>RSTR</t>
  </si>
  <si>
    <t>Active vs Closed Status</t>
  </si>
  <si>
    <t>If account is active then = 1 otherwise 0</t>
  </si>
  <si>
    <t>Booked rent for period between First Pmt Date &amp; Commencement Date</t>
  </si>
  <si>
    <t>OS Interim Rent</t>
  </si>
  <si>
    <t>Outstanding/unpaid interim rent</t>
  </si>
  <si>
    <t>Down payment booked for the contract (the full amount immediately reduces net income)</t>
  </si>
  <si>
    <t>Outstanding down payment balance</t>
  </si>
  <si>
    <t>Need to determine which Contract User Defined fields needed for the client</t>
  </si>
  <si>
    <t>Original Registration fee IDR2</t>
  </si>
  <si>
    <t>Notary/Dealer fee suspended IDC2</t>
  </si>
  <si>
    <t>Registration fee suspended IDR2</t>
  </si>
  <si>
    <t>Original Dealer subsidy IDR3</t>
  </si>
  <si>
    <t>Dealer subsidy suspended IDR3</t>
  </si>
  <si>
    <t>Open commission suspended IDR4</t>
  </si>
  <si>
    <t>Opening Commission, the amount of suspended opening commission initial direct revenue for the lease.- unearned</t>
  </si>
  <si>
    <t>CONTR UDF 37</t>
  </si>
  <si>
    <t>CONTR UDF 38</t>
  </si>
  <si>
    <t>CONTR UDF 39</t>
  </si>
  <si>
    <t>CONTR UDF 40</t>
  </si>
  <si>
    <t>CONTR UDF 41</t>
  </si>
  <si>
    <t>CONTR UDF 42</t>
  </si>
  <si>
    <t>CONTR UDF 43</t>
  </si>
  <si>
    <t>CONTR UDF 44</t>
  </si>
  <si>
    <t>CONTR UDF 45</t>
  </si>
  <si>
    <t>CONTR UDF 46</t>
  </si>
  <si>
    <t>CONTR UDF 47</t>
  </si>
  <si>
    <t>CONTR UDF 48</t>
  </si>
  <si>
    <t>CONTR UDF 49</t>
  </si>
  <si>
    <t>CONTR UDF 50</t>
  </si>
  <si>
    <t>CONTR UDF 51</t>
  </si>
  <si>
    <t>STATUS</t>
  </si>
  <si>
    <t>RESIDUAL</t>
  </si>
  <si>
    <t>AADA</t>
  </si>
  <si>
    <t xml:space="preserve">ADV_P_LEVEL_YLD_DLY                 </t>
  </si>
  <si>
    <t>AAF0</t>
  </si>
  <si>
    <t xml:space="preserve">ADV S FLT P&amp;I 360                   </t>
  </si>
  <si>
    <t>Advance; actual over 360</t>
  </si>
  <si>
    <t>AAF5</t>
  </si>
  <si>
    <t xml:space="preserve">ADV S FLT P&amp;I 365                   </t>
  </si>
  <si>
    <t>Advance; actual over 365</t>
  </si>
  <si>
    <t>AAF6</t>
  </si>
  <si>
    <t xml:space="preserve">ADV S FLT P&amp;I ACT                   </t>
  </si>
  <si>
    <t>Advance; actual over actual</t>
  </si>
  <si>
    <t>AAFE</t>
  </si>
  <si>
    <t xml:space="preserve">ADV S FLT P&amp;I 30/360                </t>
  </si>
  <si>
    <t>Advance; 30 over 360</t>
  </si>
  <si>
    <t>AAX0</t>
  </si>
  <si>
    <t xml:space="preserve">ADV S FIX P&amp;I 360                   </t>
  </si>
  <si>
    <t>AAX5</t>
  </si>
  <si>
    <t xml:space="preserve">ADV S FIX P&amp;I 365                   </t>
  </si>
  <si>
    <t>AAX6</t>
  </si>
  <si>
    <t xml:space="preserve">ADV S FIX P&amp;I ACT                   </t>
  </si>
  <si>
    <t>AAXE</t>
  </si>
  <si>
    <t xml:space="preserve">ADV S FIX P&amp;I 30/360                </t>
  </si>
  <si>
    <t>AH78</t>
  </si>
  <si>
    <t xml:space="preserve">ADV P RULE 12/78 1/2                </t>
  </si>
  <si>
    <t>AIF5</t>
  </si>
  <si>
    <t xml:space="preserve">ADV S FLT P+I 365                   </t>
  </si>
  <si>
    <t>AIF6</t>
  </si>
  <si>
    <t xml:space="preserve">ADV S FLT P+I ACT     </t>
  </si>
  <si>
    <t>Advance; actual over ACT</t>
  </si>
  <si>
    <t>AIFE</t>
  </si>
  <si>
    <t xml:space="preserve">ADV S FLT P+I 30/360                </t>
  </si>
  <si>
    <t>AIF0</t>
  </si>
  <si>
    <t xml:space="preserve">ADV S FLT P+I 360                   </t>
  </si>
  <si>
    <t>AIX5</t>
  </si>
  <si>
    <t xml:space="preserve">ADV S FIX P+I 365                   </t>
  </si>
  <si>
    <t>AIX6</t>
  </si>
  <si>
    <t xml:space="preserve">ADV S FIX P+I ACT                   </t>
  </si>
  <si>
    <t>AIXE</t>
  </si>
  <si>
    <t xml:space="preserve">ADV S FIX P+I 30/360                </t>
  </si>
  <si>
    <t>AIX0</t>
  </si>
  <si>
    <t xml:space="preserve">ADV S FIX P+I 360                   </t>
  </si>
  <si>
    <t xml:space="preserve">ADV O PMTS OPER LEAS                </t>
  </si>
  <si>
    <t xml:space="preserve">ADV O SL OPER LEASE                 </t>
  </si>
  <si>
    <t>AOVE</t>
  </si>
  <si>
    <t xml:space="preserve">ADV O*FLT AMORT 30DY                </t>
  </si>
  <si>
    <t>APX0</t>
  </si>
  <si>
    <t xml:space="preserve">ADV S FIX 360                       </t>
  </si>
  <si>
    <t>APX5</t>
  </si>
  <si>
    <t xml:space="preserve">ADV S FIX 365                       </t>
  </si>
  <si>
    <t>AR78</t>
  </si>
  <si>
    <t xml:space="preserve">ADV P RULE OF 12/78                 </t>
  </si>
  <si>
    <t>Advance payment, rule of 78’s</t>
  </si>
  <si>
    <t xml:space="preserve">ADV RES                             </t>
  </si>
  <si>
    <t>ASTR</t>
  </si>
  <si>
    <t xml:space="preserve">ADV P STRAIGHT LINE                 </t>
  </si>
  <si>
    <t>Advance payment, straight line</t>
  </si>
  <si>
    <t>AVL5</t>
  </si>
  <si>
    <t xml:space="preserve">ADV S*FLT PRN 365                   </t>
  </si>
  <si>
    <t>AVL6</t>
  </si>
  <si>
    <t xml:space="preserve">ADV S*FLT PRN ACT                   </t>
  </si>
  <si>
    <t>AVLO</t>
  </si>
  <si>
    <t xml:space="preserve">ADV S*FLT PRN 360                   </t>
  </si>
  <si>
    <t>AVV0</t>
  </si>
  <si>
    <t xml:space="preserve">ADV S*FLT AMORT 360                 </t>
  </si>
  <si>
    <t>AVV5</t>
  </si>
  <si>
    <t xml:space="preserve">ADV S*FLT AMORT 365                 </t>
  </si>
  <si>
    <t>AVV6</t>
  </si>
  <si>
    <t xml:space="preserve">ADV S*FLT AMORT ACT                 </t>
  </si>
  <si>
    <t>AVVE</t>
  </si>
  <si>
    <t xml:space="preserve">ADV S*FLT AMORT 30DY                </t>
  </si>
  <si>
    <t>RADA</t>
  </si>
  <si>
    <t xml:space="preserve">ARR_P-LEVEL_YLD_DLY                 </t>
  </si>
  <si>
    <t>RAF0</t>
  </si>
  <si>
    <t xml:space="preserve">ARR S FLT P&amp;I 360                   </t>
  </si>
  <si>
    <t>Arrears; actual over 360</t>
  </si>
  <si>
    <t>RAF5</t>
  </si>
  <si>
    <t xml:space="preserve">ARR S FLT P&amp;I 365                   </t>
  </si>
  <si>
    <t>Arrears; actual over 365</t>
  </si>
  <si>
    <t>RAF6</t>
  </si>
  <si>
    <t xml:space="preserve">ARR S FLT P&amp;I ACT                   </t>
  </si>
  <si>
    <t>Arrears; actual over actual</t>
  </si>
  <si>
    <t>RAFE</t>
  </si>
  <si>
    <t xml:space="preserve">ARR S FLT P&amp;I 30/360                </t>
  </si>
  <si>
    <t>Arrears; 30 over 360</t>
  </si>
  <si>
    <t>RAX0</t>
  </si>
  <si>
    <t xml:space="preserve">ARR S FIX P&amp;I 360                   </t>
  </si>
  <si>
    <t>RAX5</t>
  </si>
  <si>
    <t>ARR S FIX P&amp;I 365</t>
  </si>
  <si>
    <t>RAX6</t>
  </si>
  <si>
    <t xml:space="preserve">ARR S FIX P&amp;I ACT                   </t>
  </si>
  <si>
    <t>RAXE</t>
  </si>
  <si>
    <t xml:space="preserve">ARR S FIX P&amp;I 30/360                </t>
  </si>
  <si>
    <t>RH78</t>
  </si>
  <si>
    <t xml:space="preserve">ARR P RULE 12/78 1/2                </t>
  </si>
  <si>
    <t>RIF0</t>
  </si>
  <si>
    <t xml:space="preserve">ARR S FLT P+I 360                   </t>
  </si>
  <si>
    <t>RIF5</t>
  </si>
  <si>
    <t xml:space="preserve">ARR S FLT P+I 365                   </t>
  </si>
  <si>
    <t>RIF6</t>
  </si>
  <si>
    <t xml:space="preserve">ARR S FLT P+I ACT                   </t>
  </si>
  <si>
    <t>RIFE</t>
  </si>
  <si>
    <t xml:space="preserve">ARR S FLT P+I 30/360                </t>
  </si>
  <si>
    <t>RIX0</t>
  </si>
  <si>
    <t xml:space="preserve">ARR S FIX P+I 360                   </t>
  </si>
  <si>
    <t>RIX5</t>
  </si>
  <si>
    <t xml:space="preserve">ARR S FIX P+I 365                   </t>
  </si>
  <si>
    <t>RIX6</t>
  </si>
  <si>
    <t xml:space="preserve">ARR S FIX P+I ACT                   </t>
  </si>
  <si>
    <t>RIXE</t>
  </si>
  <si>
    <t xml:space="preserve">ARR S FIX P+I 30/360                </t>
  </si>
  <si>
    <t>RLT0</t>
  </si>
  <si>
    <t xml:space="preserve">ARR S FLT LEVEL 360                 </t>
  </si>
  <si>
    <t>RLT5</t>
  </si>
  <si>
    <t xml:space="preserve">ARR S FLT LEVEL 365                 </t>
  </si>
  <si>
    <t>ROPM</t>
  </si>
  <si>
    <t>ARR O PMTS OPER LEAS</t>
  </si>
  <si>
    <t xml:space="preserve">ARR O SL OPER LEASE                 </t>
  </si>
  <si>
    <t>ROVE</t>
  </si>
  <si>
    <t xml:space="preserve">ARR O*FLT AMORT 30DY                </t>
  </si>
  <si>
    <t>RPX0</t>
  </si>
  <si>
    <t xml:space="preserve">ARR S FIX 360                       </t>
  </si>
  <si>
    <t>RPX5</t>
  </si>
  <si>
    <t xml:space="preserve">ARR S FIX 365                       </t>
  </si>
  <si>
    <t>RR78</t>
  </si>
  <si>
    <t xml:space="preserve">ARR P RULE OF 12/78                 </t>
  </si>
  <si>
    <t>Arrears payment, rule of 78’s</t>
  </si>
  <si>
    <t xml:space="preserve">ARR P STRAIGHT LINE                 </t>
  </si>
  <si>
    <t>Arrears payment, straight line</t>
  </si>
  <si>
    <t>RVL0</t>
  </si>
  <si>
    <t xml:space="preserve">ARR S*FLT PRN 360                   </t>
  </si>
  <si>
    <t xml:space="preserve">ARR S*FLT PRN 365                   </t>
  </si>
  <si>
    <t>RVL6</t>
  </si>
  <si>
    <t xml:space="preserve">ARR S*FLT PRN ACT                   </t>
  </si>
  <si>
    <t>RVT0</t>
  </si>
  <si>
    <t xml:space="preserve">ARR S FLT PRN 360                   </t>
  </si>
  <si>
    <t>RVT5</t>
  </si>
  <si>
    <t xml:space="preserve">ARR S FLT PRN 365                   </t>
  </si>
  <si>
    <t>RVV0</t>
  </si>
  <si>
    <t xml:space="preserve">ARR S*FLT AMORT 360                 </t>
  </si>
  <si>
    <t>RVV5</t>
  </si>
  <si>
    <t>ARR S*FLT AMORT 365</t>
  </si>
  <si>
    <t>RVV6</t>
  </si>
  <si>
    <t xml:space="preserve">ARR S*FLT AMORT ACT                 </t>
  </si>
  <si>
    <t xml:space="preserve">ARR S*FLT AMORT 30DY </t>
  </si>
  <si>
    <t>Advance Residual only</t>
  </si>
  <si>
    <t>STATE</t>
  </si>
  <si>
    <t>COUNTY</t>
  </si>
  <si>
    <t>ASSET_NO</t>
  </si>
  <si>
    <t>ADDRESS</t>
  </si>
  <si>
    <t>ZIP</t>
  </si>
  <si>
    <t>LS_TYPE</t>
  </si>
  <si>
    <t>IN_SVC_DATE</t>
  </si>
  <si>
    <t>ACQUIS_DATE</t>
  </si>
  <si>
    <t>SOLD DATE</t>
  </si>
  <si>
    <t>ORIG_COST</t>
  </si>
  <si>
    <t>STATUS_DATE</t>
  </si>
  <si>
    <t>DEALER_NAME</t>
  </si>
  <si>
    <t>CONTR_STATUS</t>
  </si>
  <si>
    <t>UDF13</t>
  </si>
  <si>
    <t>TAX TYPE</t>
  </si>
  <si>
    <t>TAX CODE</t>
  </si>
  <si>
    <t>ORIG_RCVBL</t>
  </si>
  <si>
    <t>GUARANTEED</t>
  </si>
  <si>
    <t>LESSEE_NO</t>
  </si>
  <si>
    <t>INVENTORY</t>
  </si>
  <si>
    <t>ORIG CONTR NO</t>
  </si>
  <si>
    <t>NEW/USED</t>
  </si>
  <si>
    <t>RENTAL_INCOME</t>
  </si>
  <si>
    <t>INTEREST_INCOME</t>
  </si>
  <si>
    <t>SALE PROCEEDS</t>
  </si>
  <si>
    <t>ASSET_AS_SCHED</t>
  </si>
  <si>
    <t>ACCOUNT_PAYABLE</t>
  </si>
  <si>
    <t>SERIAL NUMBER</t>
  </si>
  <si>
    <t>INV_COMMENT</t>
  </si>
  <si>
    <t>EHELD_ORIG_CONTR</t>
  </si>
  <si>
    <t>EHELD_CUST_NAME</t>
  </si>
  <si>
    <t>EHELD_LESSEE</t>
  </si>
  <si>
    <t>EHELD_RETURN</t>
  </si>
  <si>
    <t>ON_HAND</t>
  </si>
  <si>
    <t>SEC_NOTE</t>
  </si>
  <si>
    <t>ORIG_ASSET_ID</t>
  </si>
  <si>
    <t>ENGINE</t>
  </si>
  <si>
    <t>MAN_INV_AMT</t>
  </si>
  <si>
    <t>AGREED_VAL_CAP</t>
  </si>
  <si>
    <t>ORIG_RESID</t>
  </si>
  <si>
    <t>ALLOW PPT ASSMT</t>
  </si>
  <si>
    <t>REPORT PPT</t>
  </si>
  <si>
    <t>ANNUAL-MONTHLY</t>
  </si>
  <si>
    <t>UPFRONT STAX(Y/N)</t>
  </si>
  <si>
    <t>State where the asset is located.</t>
  </si>
  <si>
    <t>County where the asset is located.</t>
  </si>
  <si>
    <t>Customer/Obligor's name</t>
  </si>
  <si>
    <t>Streeet address where the asset is located.</t>
  </si>
  <si>
    <t>City where the asset is located.</t>
  </si>
  <si>
    <t>Zip code where the asset is located.</t>
  </si>
  <si>
    <t>Lease type, the origin of the lease.</t>
  </si>
  <si>
    <t>In-service date, the date on which the asset was placed in service, or the delivery &amp; acceptance date.  This date represents the starting date for all depreciation when applicable.</t>
  </si>
  <si>
    <t>The date when the asset was funded.</t>
  </si>
  <si>
    <t>The original equipment cost or investment per asset</t>
  </si>
  <si>
    <t>Activity Status on the asset</t>
  </si>
  <si>
    <t>Date of last asset status change</t>
  </si>
  <si>
    <t>Dealer code.</t>
  </si>
  <si>
    <t>Dealer name.</t>
  </si>
  <si>
    <t>Contract status, the account status</t>
  </si>
  <si>
    <t>This is the code for the type of tax reporting for this asset.</t>
  </si>
  <si>
    <t>Original receivable</t>
  </si>
  <si>
    <t>Is the asset new or used.</t>
  </si>
  <si>
    <t>Does this asset appear on the property tax assessor's report? Yes or No.</t>
  </si>
  <si>
    <t>Asset Sale Date</t>
  </si>
  <si>
    <t>Asset UDF13</t>
  </si>
  <si>
    <t>Asset UDF1</t>
  </si>
  <si>
    <t>Asset UDF2</t>
  </si>
  <si>
    <t>Asset UDF3</t>
  </si>
  <si>
    <t>Asset UDF30</t>
  </si>
  <si>
    <t>Asset UDF31</t>
  </si>
  <si>
    <t>Asset UDF32 -The original asset number.</t>
  </si>
  <si>
    <t>Asset UDF33</t>
  </si>
  <si>
    <t>Asset UDF34</t>
  </si>
  <si>
    <t>Asset UDF35</t>
  </si>
  <si>
    <t>Asset UDF36-Original residual, the original total residual of the lease.</t>
  </si>
  <si>
    <t>Contract UDF33</t>
  </si>
  <si>
    <t>Asset UDF4 - Equipment Year</t>
  </si>
  <si>
    <t>Asset UDF5 - Equipment Manufacturer  (not sure why there is some with an X)</t>
  </si>
  <si>
    <t>A number assigned by a manufacturer (can be alpha/numeric) which represents a specific piece of equipment.  This identifiable number is used for titles and for filing UCC’s. (VIN Number)</t>
  </si>
  <si>
    <t>A=Annual and M=Manual</t>
  </si>
  <si>
    <t xml:space="preserve">Residual Income YTD </t>
  </si>
  <si>
    <t>Interest Income YTD</t>
  </si>
  <si>
    <t>Original asset Cost/Total Sum of Original Cost for the Lease(contract) that the asset is assigned</t>
  </si>
  <si>
    <t>Rental Income YTD</t>
  </si>
  <si>
    <t>Proceeds of the Asset Sale</t>
  </si>
  <si>
    <t>% of schedule amount by asset</t>
  </si>
  <si>
    <t>Inventoried value</t>
  </si>
  <si>
    <t>Contract UDF7-Original Contract Number (ID), the lease (or contract) number assigned by client</t>
  </si>
  <si>
    <t>Not sure if this is needed as it currently is blank</t>
  </si>
  <si>
    <t>Property tax assessed on this asset? Yes or No.</t>
  </si>
  <si>
    <t>Sales tax charged at the start of the lease? Yes or No.</t>
  </si>
  <si>
    <t>Federal Depreciation</t>
  </si>
  <si>
    <t>State Depreciation</t>
  </si>
  <si>
    <t xml:space="preserve">Provides year-to-date information on state depreciation for each portfolio, to assist in the preparation of the lessor's state tax returns. Life-to-date depreciation is also shown for informational purposes. </t>
  </si>
  <si>
    <t xml:space="preserve">Provides year-to-date information on federal, alternative minimum tax (AMT) depreciation for each portfolio, to assist in the preparation of the lessor's federal tax returns. Life-to-date depreciation is also shown for informational purposes. </t>
  </si>
  <si>
    <t>Asset</t>
  </si>
  <si>
    <t>In Service Date</t>
  </si>
  <si>
    <t>Original Tax Basis</t>
  </si>
  <si>
    <t>Depreciation Expense YTD</t>
  </si>
  <si>
    <t>Accumulated Depreciation LTD</t>
  </si>
  <si>
    <t>Depreciable Balance</t>
  </si>
  <si>
    <t>Amt Life</t>
  </si>
  <si>
    <t>YTD Amt Depr Diff</t>
  </si>
  <si>
    <t>Asset Number assigned</t>
  </si>
  <si>
    <t>Asset Description</t>
  </si>
  <si>
    <t>Asset Status Classification: Inventory=Asset is off-lease in inventory; On-Lease= asset is on lease; Sold= Asset has been sold</t>
  </si>
  <si>
    <t>The date the asset was placed in service</t>
  </si>
  <si>
    <t>The original acquisition cost of the asset</t>
  </si>
  <si>
    <t>The depreciation tax basis is the original acquisition cost adjusted for any Investment Tax Credit taken (ITC). If the full amount of ITC available is taken, the ORIGINAL TAX BASIS is calculated by reducing the original acquisition cost by one-half of the ITC taken (prior to 1986) or by the full amount of ITC taken (from 1986 on). If a reduced amount of ITC is taken, the ORIGINAL TAX BASIS is equal to the original acquisition cost (i.e., there is no adjustment made). Note that this adjustment is only performed for the Federal tax basis; the State tax basis is unaffected by the amount of ITC taken</t>
  </si>
  <si>
    <t>Cost</t>
  </si>
  <si>
    <t>The year-to-date federal depreciation calculated for the asset is displayed. This figure is used to prepare the year's federal tax return. DEPRECIATION EXPENSE YTD is shown rounded to the nearest dollar</t>
  </si>
  <si>
    <t>The life-to-date federal depreciation calculated for the asset is displayed for informational purposes. It is used to calculate the federal DEPRECIABLE BALANCE. ACCUMULATED DEPRECIATION LTD is shown rounded to the nearest dollar.</t>
  </si>
  <si>
    <t>The federal depreciable balance is calculated as follows:
ORIGINAL TAX BASIS
- ACCUM DEPREC LTD
DEPRECIABLE BALANCE is shown rounded to the nearest dollar.</t>
  </si>
  <si>
    <t>The alternative minimum tax (AMT) life is displayed (in years).</t>
  </si>
  <si>
    <t>The alternative minimum tax (AMT) depreciation difference is the difference between the current year-to-date federal depreciation and the year-to-date alternative minimum tax depreciation. The AMT TAX DIFFERENCE is calculated as follows:
DEPRECIATN EXPNSE YTD
- YEAR-TO-DATE ALTERNATIVE MINIMUM TAX DEPRECIATION
YTD AMT DEPR DIFF is shown rounded to the nearest dollar.</t>
  </si>
  <si>
    <t>Sale Date</t>
  </si>
  <si>
    <t>The effective date of the sale of the asset is displayed for assets with a STATUS of 'SOLD'</t>
  </si>
  <si>
    <t>The state depreciation tax basis is the acquisition cost of the asset. Unlike the federal depreciation tax basis, the state depreciation tax basis is not adjusted for any investment tax credit (ITC) taken</t>
  </si>
  <si>
    <t>The year-to-date state depreciation calculated for the asset is displayed. This figure is used to prepare the year's state tax return. DEPRECIATN EXPNSE YTD is shown rounded to the nearest dollar</t>
  </si>
  <si>
    <t>The state depreciable balance is calculated as follows:
ORIGINAL TAX BASIS
- ACCUM DEPREC LTD
DEPRECIABLE BALANCE is shown rounded to the nearest dollar.</t>
  </si>
  <si>
    <t>The Suspended Earnings report provides a suspended income listing of all leases whose earnings have been suspended</t>
  </si>
  <si>
    <t>Suspended Earnings</t>
  </si>
  <si>
    <t>Activity Status</t>
  </si>
  <si>
    <t>Susp Eff Date</t>
  </si>
  <si>
    <t>Susp Days</t>
  </si>
  <si>
    <t>Dlnq Days</t>
  </si>
  <si>
    <t>The short form of one the following suspended activity status values is displayed:
NHLD Hold
NREC Rescission
NREP Involuntary Reposition
NSKP Skip
NINS Non-Insurance
NSET Insurance Settlement
NVOL Voluntary Reposition</t>
  </si>
  <si>
    <t>The effective date of the earnings suspension is displayed</t>
  </si>
  <si>
    <t>The number of days from the effective date of the suspension to the current date is displayed</t>
  </si>
  <si>
    <t>The number of days from the most delinquent payment date to the current date is displayed</t>
  </si>
  <si>
    <t>Suspend Income Rec (unbilled)</t>
  </si>
  <si>
    <t>Suspended Income Collected</t>
  </si>
  <si>
    <t>Insurance Premium</t>
  </si>
  <si>
    <t>Notary Fee</t>
  </si>
  <si>
    <t>Insurance Fee</t>
  </si>
  <si>
    <t xml:space="preserve">Registration </t>
  </si>
  <si>
    <t>Opening Comm</t>
  </si>
  <si>
    <t>The amount of suspended opening commission IDR for the lease is displayed.</t>
  </si>
  <si>
    <t>The amount of suspended vendor subsidy IDR for the lease is displayed.</t>
  </si>
  <si>
    <t>Vendor Subsid</t>
  </si>
  <si>
    <t>The amount of suspended registration fee IDR for the lease is displayed</t>
  </si>
  <si>
    <t>The amount of suspended insurance fee IDR for the lease is displayed</t>
  </si>
  <si>
    <t>The amount of suspended notary fee IDC for the lease is displayed</t>
  </si>
  <si>
    <t>The amount of suspended insurance premium IDC for the lease is displayed</t>
  </si>
  <si>
    <t>The amount of suspended IDC accrued for the lease is displayed</t>
  </si>
  <si>
    <t>The suspended income paid is displayed</t>
  </si>
  <si>
    <t>The suspended income earned is displayed</t>
  </si>
  <si>
    <r>
      <t xml:space="preserve">The unbilled suspended income accrued but not due for the period-to-date for non-monthly suspended leases is displayed.
</t>
    </r>
    <r>
      <rPr>
        <b/>
        <sz val="8"/>
        <color theme="1"/>
        <rFont val="Arial"/>
        <family val="2"/>
      </rPr>
      <t>Note: Income is accrued and recognized monthly, regardless of the lease's payment schedule.If the payment is not due, the accrued income is held in income receivable. Unearned income is credited by the accumulated income receivable only when the payment is actually due.</t>
    </r>
  </si>
  <si>
    <t>Fixed Rate Reserves</t>
  </si>
  <si>
    <t>Standard Reserves</t>
  </si>
  <si>
    <t>Guaranteed Reserves</t>
  </si>
  <si>
    <t>Subvention</t>
  </si>
  <si>
    <t>Dealer Buy Down</t>
  </si>
  <si>
    <t>Credit Life Insurance 1</t>
  </si>
  <si>
    <t>Credit Life Insurance 2</t>
  </si>
  <si>
    <t>CR Disibility Ins 1</t>
  </si>
  <si>
    <t>CR Disibility Ins 2</t>
  </si>
  <si>
    <t>Acquisition Fee</t>
  </si>
  <si>
    <t>Warranty Fee</t>
  </si>
  <si>
    <t>IDC8 Reserves</t>
  </si>
  <si>
    <t>IDC9 Reserves</t>
  </si>
  <si>
    <t>IDCA Reserves</t>
  </si>
  <si>
    <t>IDCB Reserves</t>
  </si>
  <si>
    <t>IDCC Reserves</t>
  </si>
  <si>
    <t>The total suspended amount for IDCC is displayed for the lease. This field will only appear if the Enhanced IDC/IDR module is purchased</t>
  </si>
  <si>
    <t>The total suspended amount for IDCB is displayed for the lease. This field will only appear if the Enhanced IDC/IDR module is purchased.</t>
  </si>
  <si>
    <t>The total suspended amount for IDCA is displayed for the lease. This field will only appear if the Enhanced IDC/IDR module is purchased.</t>
  </si>
  <si>
    <t>The total suspended amount for IDC9 is displayed for the lease. This field will only appear if the Enhanced IDC/IDR module is purchased.</t>
  </si>
  <si>
    <t>The total suspended amount for IDC8 is displayed for the lease. This field will only appear if the Enhanced IDC/IDR module is purchased.</t>
  </si>
  <si>
    <t>The total IDRC - Warranty Insurance Fee amount for the lease is displayed.
Note: The additional IDC/IDR fields appear when the Enhanced IDC/IDR module is purchased and IDC/IDR fees are entered on the lease.</t>
  </si>
  <si>
    <t>The total IDRB -Acquisition Fee amount for the lease is displayed.</t>
  </si>
  <si>
    <t>The total IDRA - Credit Disability Insurance 2 amount for the lease is displayed.</t>
  </si>
  <si>
    <t>The total IDR9 - Credit Disability 1 amount for the lease is displayed.</t>
  </si>
  <si>
    <t>The total IDR8 - Credit Life Insurance 2 amount for the lease is displayed.</t>
  </si>
  <si>
    <t>The total IDR7 - Credit Life Insurance 1 amount for the lease is displayed.</t>
  </si>
  <si>
    <t>The total IDR6 - Dealer Buy Down amount for the lease is displayed.</t>
  </si>
  <si>
    <t>The total IDR5 - Subvention amount for the lease is displayed.</t>
  </si>
  <si>
    <t>The IDC5 - Guaranteed Reserves total amount for the lease is displayed.</t>
  </si>
  <si>
    <t>The IDC4 - Standard Reserve total amount for the lease is displayed.</t>
  </si>
  <si>
    <t>The IDC3- Fixed Rate Reserve total amount for the lease is displayed.</t>
  </si>
  <si>
    <t>IDCD Reserves</t>
  </si>
  <si>
    <t>IDCE Reserves</t>
  </si>
  <si>
    <t>IDCF Reserves</t>
  </si>
  <si>
    <t>IDCG Reserves</t>
  </si>
  <si>
    <t>IDCH Reserves</t>
  </si>
  <si>
    <t>The total suspended amount for IDCD is displayed for the lease. This field will only appear if the Enhanced IDC/IDR module is purchased</t>
  </si>
  <si>
    <t>The total suspended amount for IDCE is displayed for the lease. This field will only appear if the Enhanced IDC/IDR module is purchased</t>
  </si>
  <si>
    <t>The total suspended amount for IDCF is displayed for the lease. This field will only appear if the Enhanced IDC/IDR module is purchased</t>
  </si>
  <si>
    <t>The total suspended amount for IDCG is displayed for the lease. This field will only appear if the Enhanced IDC/IDR module is purchased</t>
  </si>
  <si>
    <t>The total suspended amount for IDCH is displayed for the lease. This field will only appear if the Enhanced IDC/IDR module is purchased</t>
  </si>
  <si>
    <t>Subvent 1</t>
  </si>
  <si>
    <t>Subvent 2</t>
  </si>
  <si>
    <t>Subvent 3</t>
  </si>
  <si>
    <t>Subvent 4</t>
  </si>
  <si>
    <t>Subvent 5</t>
  </si>
  <si>
    <t>DLR Bonus</t>
  </si>
  <si>
    <t>DLR Resrv</t>
  </si>
  <si>
    <t>The total suspended income amount for subvention 1 is displayed for the lease. This field will only appear if the Enhanced IDC/IDR module is purchased.</t>
  </si>
  <si>
    <t>The total suspended income amount for subvention 2 is displayed for the lease. This field will only appear if the Enhanced IDC/IDR module is purchased.</t>
  </si>
  <si>
    <t>The total suspended income amount for subvention 3 is displayed for the lease. This field will only appear if the Enhanced IDC/IDR module is purchased.</t>
  </si>
  <si>
    <t>The total suspended income amount for subvention 4 is displayed for the lease. This field will only appear if the Enhanced IDC/IDR module is purchased.</t>
  </si>
  <si>
    <t>The total suspended income amount for subvention 5 is displayed for the lease. This field will only appear if the Enhanced IDC/IDR module is purchased.</t>
  </si>
  <si>
    <t>The total suspended dealer bonus amount is displayed for the lease. This field will only appear if the Enhanced IDC/IDR module is purchased and the portfolio switch, "Allow Dealer Bonus" is set to "Y".</t>
  </si>
  <si>
    <t>The total suspended dealer reserve amount is displayed for the lease. This field will only appear if the Enhanced IDC/IDR module is purchased and the portfolio switch, "Allow Dealer Reserve" is set to "Y".</t>
  </si>
  <si>
    <t>IDC ASC 842</t>
  </si>
  <si>
    <t>The total IDC ASC 842 amount for the lease is displayed.</t>
  </si>
  <si>
    <t>Bank Code</t>
  </si>
  <si>
    <t>Cash Remittance Type</t>
  </si>
  <si>
    <t>Lockbox</t>
  </si>
  <si>
    <t>Real</t>
  </si>
  <si>
    <t>Not Cash-Disbursement</t>
  </si>
  <si>
    <t>ACH</t>
  </si>
  <si>
    <t>Wires</t>
  </si>
  <si>
    <t>CC Receipts</t>
  </si>
  <si>
    <t>In House Deposits</t>
  </si>
  <si>
    <t>Not Cash</t>
  </si>
  <si>
    <t>Refund- Borrower</t>
  </si>
  <si>
    <t>Refund/Check Request</t>
  </si>
  <si>
    <t>Rebooked Cash</t>
  </si>
  <si>
    <t>Waiver</t>
  </si>
  <si>
    <t>Transfer to Client</t>
  </si>
  <si>
    <t>Return to Client</t>
  </si>
  <si>
    <t>Monthly - all activity for the month</t>
  </si>
  <si>
    <t>Tranaction Code Description</t>
  </si>
  <si>
    <t>Precomputed Payments aka Principal/Interest Payments (includes partial and funds applied from Suspense)</t>
  </si>
  <si>
    <t>Daily - prior day's activity</t>
  </si>
  <si>
    <t>Debit Vector</t>
  </si>
  <si>
    <t>Credit Vector</t>
  </si>
  <si>
    <t>Debit GL Code</t>
  </si>
  <si>
    <t>Credit GL Code</t>
  </si>
  <si>
    <t>Insurance Follow-Up</t>
  </si>
  <si>
    <t>Report provides a follow-up for receipt of required insurance coverage document.</t>
  </si>
  <si>
    <t>LESSEE NAME/ADDRESS</t>
  </si>
  <si>
    <t>Complete mailing address of the lessee including name, address, city, state and ZIP is displayed. (This is not the lessee billing address.)</t>
  </si>
  <si>
    <t>LEASE TERM</t>
  </si>
  <si>
    <t>INSURANCE TYPE</t>
  </si>
  <si>
    <t>The insurance type code (e.g., FULL = Full Coverage, SELF = Self-insured) of each insurance policy for the lease is displayed</t>
  </si>
  <si>
    <t>INSURANCE EXPIRATION DATE</t>
  </si>
  <si>
    <t>The expiration date of the insurance coverage of each insurance policy for the lease is displayed.</t>
  </si>
  <si>
    <t>INSURANCE STATUS</t>
  </si>
  <si>
    <t>The long form of the status of each insurance policy for the lease is displayed. The following are the possible statuses which appear on the report:
BINDER ON FILE
CANCELLED
DUE TO EXPIRE
EXPIRED
INC/MISSING ADD INS (Incomplete/Missing Additional Insured)
INCOMPLETE
INCORRECT COLISN DED (Incorrect Collision Deductible)
INCORRECT COMP DED (Incorrect Comprehensive Deductible)
INCORRECT ASSET I.D.
INCORRECT LIABILITY
INC/MISSING LOSS PAY (Incomplete/Missing Loss Payee)
INCORRECT NAME
NO BINDER OR POLICY
VERIFIED
The only insurance statuses which do not appear on this exception report are "Complete and Correct" and "NTRQ" (not required)</t>
  </si>
  <si>
    <t>ASSET</t>
  </si>
  <si>
    <t>The asset number(s) associated with the lease is displayed</t>
  </si>
  <si>
    <t>The asset number</t>
  </si>
  <si>
    <t>Provides the information necessary to pass entries to a General Ledger system separate from System. Also, used in conjunction with the Trial Balance report, the Accounts Receivable Balancing report, the Income Receivable Balancing report, the Accounts Payable Balancing report, the Suspense Review report and the Off Lease Inventory report, it is an essential tool in the General Ledger reconciliation process.</t>
  </si>
  <si>
    <t>Date posted to System</t>
  </si>
  <si>
    <t>A two digit number that represents a specific client's records in System.</t>
  </si>
  <si>
    <t>System Conversion</t>
  </si>
  <si>
    <t>ACTIVE ASSUMED, the contract was assumed by another obligor. System automatically assigns this status to the contract when assumed.</t>
  </si>
  <si>
    <t>ACTIVE EXTENDED MONTH-TO-MONTH, The original contract matured and was extended month-to-month through the Contract Extension update. System automatically assigns this status to the contract when extended.</t>
  </si>
  <si>
    <t>ACTIVE EXTENDED,the original contract matured and was extended for a specified term through the Contract Extension update. System automatically assigns this status to the contract when extended.</t>
  </si>
  <si>
    <t>ACTIVE NORMAL, the contract is active under normal circumstances. System automatically assigns this status to the contract when booked. This status may also be entered through the Master Financial update.</t>
  </si>
  <si>
    <t>REBOOK, the contract has been rebooked through the Rebook update. The Rebook update is used to change the initial booking information of the contract, such as the assets tied to the contract, payment schedule, commencement date, etc. System automatically assigns this status to the contract when rebooked.</t>
  </si>
  <si>
    <t>ACTIVE TRANSFERRED, the contract has been transferred from one accounting unit (portfolio, company, region, and office) to another through the Change contract Key update. System automatically assigns this status to the contract when it is moved to another accounting unit.</t>
  </si>
  <si>
    <t>CHARGE OFF: INVOLUNTARY REPOSESSION, the contract has been charged off due to involuntary repossession of the contractd assets. The contract is no longer active. System automatically assigns this status to the contract when the contract is paid off (through the Payoff update) with an activity status of.</t>
  </si>
  <si>
    <t>CHARGE OFF: SKIP, the contract has been charged off due to a obligor skip (i.e., the obligor absconded with the contractd assets). The contract is no longer active. System automatically assigns this status to the contract when the contract is paid off (through the Payoff update) with an activity status of ‘NSKP’ (suspended earnings skip).</t>
  </si>
  <si>
    <t>CHARGE OFF: VOLUNTARY REPOSSESSION, the contract has been charged off due to voluntary repossession (i.e., the obligor voluntarily returns the contractd assets in order to terminate the contract). The contract is no longer active. System automatically assigns this status to the contract when the contract is paid off (through the Payoff update) with an activity status of ‘NVOL’ (suspended earnings repossession).</t>
  </si>
  <si>
    <t>CONTRACT DISCOUNTING, the contract has been discounted through the Contract Discounting update. The contract Discounting update is used to discount contract payment streams which are then sold to investors. System automatically assigns this status to the contract when discounted.</t>
  </si>
  <si>
    <t>ACTIVE MATURED, the contract has matured. System automatically assigns this status to the contract when all the income for the contract has been earned.</t>
  </si>
  <si>
    <t>PAID OFF: DISCOUNTED, the contract was paid off after discounted. The contract is no longer active. System automatically assigns this status to the contract when it is paid off through the Payoff update with an activity status of ‘NDSC’ (Contract Discounting).</t>
  </si>
  <si>
    <t>PAID OFF: EARLY, the contract was paid off or terminated before maturity. The contract is no longer active. System automatically assigns this status to the contract when it is paid off or terminated through the Payoff update with an activity status beginning with an ‘A’ (e.g., ‘ANOR’).</t>
  </si>
  <si>
    <t>PAID OFF: MATURED, the contract was paid off or terminated at maturity. The contract is no longer active. System automatically assigns this status to the contract when it is paid off or terminated through the Payoff update with an activity status of ‘NMAT’ (active matured).</t>
  </si>
  <si>
    <t>PAID OFF: RESCISSION, the contract was paid off or terminated because the obligor rescinded on the contract contract. The contract is no longer active. System automatically assigns this status to the contract when it is paid off or terminated through the Payoff update with an activity status of ‘NREC’ (suspended earnings rescission).</t>
  </si>
  <si>
    <t>PAID OFF: INSURANCE SETTLEMENT, the contract was paid off or terminated by an insurance settlement. The contract is no longer active. System automatically assigns this status to the contract when it is paid off or terminated through the Payoff update with an activity status of ‘NINS’ (suspended earnings non-insurance) or ‘NSET’ (suspended earnings insurance settlement).</t>
  </si>
  <si>
    <t>PAID OFF: INSURANCE CLAIM, the contract was paid off or terminated by an insurance claim. The contract is no longer active. System automatically assigns this status to the contract when it is paid off or terminated through the Pay-off update with an activity status of ’NH02’ (suspended earnings insurance claim).</t>
  </si>
  <si>
    <t>PAID OFF: SETTLEMENT, the contract was paid off or terminated by a settlement. The contract is no longer active. System automatically assigns this status to the contract when it is paid off or terminated through the Payoff update with an activity status of ‘NH03’ (suspended earnings set-tlement).</t>
  </si>
  <si>
    <t>IDC3-FIXED RESERVES PAYABLE</t>
  </si>
  <si>
    <t>IDC3-UNAMORTIZED D/L FIXED RESERVES</t>
  </si>
  <si>
    <t>IDC3-D/L FIXED RESERVES PAYABLE</t>
  </si>
  <si>
    <t>IDC3-UNAMORT D/L-O/L FIXED RESERVES</t>
  </si>
  <si>
    <t>IDC3-D/L-O/L FIXED RESERVES PAYABLE</t>
  </si>
  <si>
    <t>IDC4-UNAMORTIZED STANDARD RESERVES</t>
  </si>
  <si>
    <t>IDC4-STANDARD RESERVES PAYABLE</t>
  </si>
  <si>
    <t>IDC4-UNAMORT D/L STANDARD RESERVES</t>
  </si>
  <si>
    <t>IDC4-D/L STANDARD RESERVES PAYABLE</t>
  </si>
  <si>
    <t>IDC4-UNAMORT D/L-O/L STAND RESERVES</t>
  </si>
  <si>
    <t>IDC4-D/L-O/L STAND RESERVES PAYABLE</t>
  </si>
  <si>
    <t>IDC5-UNAMORTIZED GUARANTEED RESERVES</t>
  </si>
  <si>
    <t>IDC5-GUARANTEED RESERVES PAYABLE</t>
  </si>
  <si>
    <t>IDC5-UNAMORT D/L GUARANTEED RESERVES</t>
  </si>
  <si>
    <t>IDC5-D/L GUARANTEED RESERVES PAYABLE</t>
  </si>
  <si>
    <t>IDC5-UNAMORT D/L-O/L GUARANTEED RES</t>
  </si>
  <si>
    <t>IDC5-D/L-O/L GUARANTEED RES PAYABLE</t>
  </si>
  <si>
    <t>IDR5-RETAIL SUBVENTION</t>
  </si>
  <si>
    <t>IDR5-D/L SUBVENTION</t>
  </si>
  <si>
    <t>IDR5-RETAIL SUBVENTION INCOME</t>
  </si>
  <si>
    <t>IDR5-SUSP RETAIL SUBVENTION INCOME</t>
  </si>
  <si>
    <t>IDR5-D/L SUBVENTION INCOME</t>
  </si>
  <si>
    <t>IDR5-SUSP D/L SUBVENTION INCOME</t>
  </si>
  <si>
    <t>IDR6-DEALER BUY DOWN</t>
  </si>
  <si>
    <t>IDR6-D/L DEALER BUY DOWN</t>
  </si>
  <si>
    <t>IDR7-CR LIFE INSURANCE 1 PAYABLE</t>
  </si>
  <si>
    <t>IDR8-CR LIFE INSURANCE 2 PAYABLE</t>
  </si>
  <si>
    <t>IDR9-CR DISABILITY INS 1 PAYABLE</t>
  </si>
  <si>
    <t>IDRA-CR DISABILITY INS 2 PAYABLE</t>
  </si>
  <si>
    <t>IDRC-WARRANTY INSURANCE PAYABLE</t>
  </si>
  <si>
    <t>RETAIL INTEREST INCLUDED RECEIVABLE</t>
  </si>
  <si>
    <t>RETAIL SIMPLE INTEREST RECEIVABLE</t>
  </si>
  <si>
    <t>FINANCE LEASE RECEIVABLE</t>
  </si>
  <si>
    <t>FINANCE LEASE RESIDUAL RECEIVABLE</t>
  </si>
  <si>
    <t>OPERATING LEASE RECEIVABLE</t>
  </si>
  <si>
    <t>OPERATING LEASE RESIDUAL RECEIVABLE</t>
  </si>
  <si>
    <t>IDRB-UNEARNED RETAIL ACQUISITION FEE</t>
  </si>
  <si>
    <t>IDRB-UNEARNED D/L ACQUISITION FEE</t>
  </si>
  <si>
    <t>IDRB-RETAIL ACQUISITION FEE INCOME</t>
  </si>
  <si>
    <t>IDRB-D/L ACQUISITION FEE INCOME</t>
  </si>
  <si>
    <t>IDRB-SUSP RETAIL ACQ FEE INCOME</t>
  </si>
  <si>
    <t>IDRB-SUSP D/L ACQ FEE INCOME</t>
  </si>
  <si>
    <t>INTER COMPANY RECEIVABLE-VOA</t>
  </si>
  <si>
    <t>FASB91 INCOME ADJUSTMENT</t>
  </si>
  <si>
    <t>SUSPENDED FASB91 INCOME ADJUSTMENT</t>
  </si>
  <si>
    <t>LEASE INCOME ADJUSTMENT</t>
  </si>
  <si>
    <t>SUSPENDED LEASE INCOME ADJUSTMENT</t>
  </si>
  <si>
    <t>RETAIL EXCESS MSRP PAYABLE</t>
  </si>
  <si>
    <t>D/L EXCESS MSRP PAYABLE</t>
  </si>
  <si>
    <t>TOTAL RESERVES PAYABLE</t>
  </si>
  <si>
    <t>RETAIL LOSSES</t>
  </si>
  <si>
    <t>D/L LOSSES</t>
  </si>
  <si>
    <t>USED INVENTORY</t>
  </si>
  <si>
    <t>ALT:IDC3-UNAMORT FIXED RESERVES</t>
  </si>
  <si>
    <t>ALT:IDC4-UNAMORT STANDARD RESERVES</t>
  </si>
  <si>
    <t>ALT:IDC5-UNAMORT GUARANTEED RESERVES</t>
  </si>
  <si>
    <t>ALT:IDC3-FIXED RESERVES PAYABLE</t>
  </si>
  <si>
    <t>ALT:IDC4-STANDARD RESERVES PAYABLE</t>
  </si>
  <si>
    <t>ALT:IDC5-GUARANTEED RESERVES PAYABLE</t>
  </si>
  <si>
    <t>ALT:IDR5-SUBVENTION</t>
  </si>
  <si>
    <t>ALT:IDR5-SUBVENTION INCOME</t>
  </si>
  <si>
    <t>ALT:IDR6-DEALER BUYDOWN</t>
  </si>
  <si>
    <t>ALT:IDR6-DEALER BUYDOWN INCOME</t>
  </si>
  <si>
    <t>ALT:IDRB-UNEARNED ACQUISITION FEE</t>
  </si>
  <si>
    <t>ALT:IDRB-ACQUISITION FEE INCOME</t>
  </si>
  <si>
    <t>ALT:ACCOUNTS PAYABLE</t>
  </si>
  <si>
    <t>ALT:INTER COMPANY RECEIVABLE</t>
  </si>
  <si>
    <t>ALT:LEASE INCOME ADJUSTMENT</t>
  </si>
  <si>
    <t>ALT:CLEARING</t>
  </si>
  <si>
    <t>ALT1:CLEARING</t>
  </si>
  <si>
    <t>ALT2:CLEARING</t>
  </si>
  <si>
    <t>TOTAL RESERVES CLEARING</t>
  </si>
  <si>
    <t>ALT3:CLEARING</t>
  </si>
  <si>
    <t>ALT4:CLEARING</t>
  </si>
  <si>
    <t>ALT1:DEPRECIATION EXPENSE</t>
  </si>
  <si>
    <t>ALT1:ACCUMULATED DEPRECIATION</t>
  </si>
  <si>
    <t>ALT2:DEPRECIATION EXPENSE</t>
  </si>
  <si>
    <t>ALT2:ACCUMULATED DEPRECIATION</t>
  </si>
  <si>
    <t>ALT1:INVENTORY</t>
  </si>
  <si>
    <t>ALT2:INVENTORY</t>
  </si>
  <si>
    <t>ALT:DEFERRED OPERATING LEASE REVENUE</t>
  </si>
  <si>
    <t>ALT:OPERATING LEASE INCOME</t>
  </si>
  <si>
    <t>ALT:LEASE PAYMENTS RECEIVABLE</t>
  </si>
  <si>
    <t>IDC1-DEFERRED SUSP INS PREM</t>
  </si>
  <si>
    <t>IDC2-DEFERRED NOTARY FEE AMORT</t>
  </si>
  <si>
    <t>IDC2-DEFERRED SUSP NOTARY FEE</t>
  </si>
  <si>
    <t>IDR1-DEFERRED INS FEE INCOME</t>
  </si>
  <si>
    <t>IDR1-DEFERRED SUSP INS FEE INCM</t>
  </si>
  <si>
    <t>IDR2-DEFERRED REG FEE INCOME</t>
  </si>
  <si>
    <t>IDR2-DEFERRED SUSP REG FEE INCM</t>
  </si>
  <si>
    <t>IDR3-DEFERRED DLR SUBSIDY INCOME</t>
  </si>
  <si>
    <t>IDR3-DEFERRED SUSP DLR SUBSIDY INCM</t>
  </si>
  <si>
    <t>IDR4-DEFERRED OPEN COMM INCOME</t>
  </si>
  <si>
    <t>IDR4-DEFERRED SUSP OPEN COMM INCM</t>
  </si>
  <si>
    <t>CLIENT ASMT RECV 01</t>
  </si>
  <si>
    <t>CLIENT ASSESSED FEES 01</t>
  </si>
  <si>
    <t>CLIENT ASMT INC 01</t>
  </si>
  <si>
    <t>CLIENT ASMT RECV 02</t>
  </si>
  <si>
    <t>CLIENT ASSESSED FEES 02</t>
  </si>
  <si>
    <t>CLIENT ASMT INC 02</t>
  </si>
  <si>
    <t>CLIENT ASMT RECV 03</t>
  </si>
  <si>
    <t>CLIENT ASSESSED FEES 03</t>
  </si>
  <si>
    <t>CLIENT ASMT INC 03</t>
  </si>
  <si>
    <t>AR - SUBVENTION1</t>
  </si>
  <si>
    <t>AR - SUBVENTION2</t>
  </si>
  <si>
    <t>AR - SUBVENTION3</t>
  </si>
  <si>
    <t>AR - SUBVENTION4</t>
  </si>
  <si>
    <t>AR - SUBVENTION5</t>
  </si>
  <si>
    <t>IDRD - D/L SUBVENTION1</t>
  </si>
  <si>
    <t>IDRE - D/L SUBVENTION2</t>
  </si>
  <si>
    <t>IDRF - D/L SUBVENTION3</t>
  </si>
  <si>
    <t>IDRG - D/L SUBVENTION4</t>
  </si>
  <si>
    <t>IDRH - D/L SUBVENTION5</t>
  </si>
  <si>
    <t>IDRD - RETAIL SUBVENTION1</t>
  </si>
  <si>
    <t>IDRE - RETAIL SUBVENTION2</t>
  </si>
  <si>
    <t>IDRF - RETAIL SUBVENTION3</t>
  </si>
  <si>
    <t>IDRG - RETAIL SUBVENTION4</t>
  </si>
  <si>
    <t>IDRH - RETAIL SUBVENTION5</t>
  </si>
  <si>
    <t>IDRD - D/L SUBVENTION1 INCOME</t>
  </si>
  <si>
    <t>IDRE - D/L SUBVENTION2 INCOME</t>
  </si>
  <si>
    <t>IDRF - D/L SUBVENTION3 INCOME</t>
  </si>
  <si>
    <t>IDRG - D/L SUBVENTION4 INCOME</t>
  </si>
  <si>
    <t>IDRH - D/L SUBVENTION5 INCOME</t>
  </si>
  <si>
    <t>IDRD - RETAIL SUBVENTION1 INC</t>
  </si>
  <si>
    <t>IDRE - RETAIL SUBVENTION2 INC</t>
  </si>
  <si>
    <t>IDRF - RETAIL SUBVENTION3 INC</t>
  </si>
  <si>
    <t>IDRG - RETAIL SUBVENTION4 INC</t>
  </si>
  <si>
    <t>IDRH - RETAIL SUBVENTION5 INC</t>
  </si>
  <si>
    <t>IDRD - SUSP D/L SUBVENTION1 INC</t>
  </si>
  <si>
    <t>IDRE - SUSP D/L SUBVENTION2 INC</t>
  </si>
  <si>
    <t>IDRF - SUSP D/L SUBVENTION3 INC</t>
  </si>
  <si>
    <t>IDRG - SUSP D/L SUBVENTION4 INC</t>
  </si>
  <si>
    <t>IDRH - SUSP D/L SUBVENTION5 INC</t>
  </si>
  <si>
    <t>IDRD - SUSP RETAIL SUBVENTION1 INC</t>
  </si>
  <si>
    <t>IDRE - SUSP RETAIL SUBVENTION2 INC</t>
  </si>
  <si>
    <t>IDRF - SUSP RETAIL SUBVENTION3 INC</t>
  </si>
  <si>
    <t>IDRG - SUSP RETAIL SUBVENTION4 INC</t>
  </si>
  <si>
    <t>IDRH - SUSP RETAIL SUBVENTION5 INC</t>
  </si>
  <si>
    <t>IDC6 - UNAMORT D/L DEALER BONUS</t>
  </si>
  <si>
    <t>IDC6 - AMORT D/L DEALER BONUS</t>
  </si>
  <si>
    <t>IDC6 - D/L DEALER BONUS PAYABLE</t>
  </si>
  <si>
    <t>IDC6 - D/L SUSP DEALER BONUS</t>
  </si>
  <si>
    <t>IDC6 - UNAMORT O/L DEALER BONUS</t>
  </si>
  <si>
    <t>IDC6 - AMORT O/L DEALER BONUS</t>
  </si>
  <si>
    <t>IDC6 - O/L DEALER BONUS PAYABLE</t>
  </si>
  <si>
    <t>IDC6 - O/L SUSP DEALER BONUS</t>
  </si>
  <si>
    <t>IDC6 - UNAMORT DEALER BONUS</t>
  </si>
  <si>
    <t>IDC6 - AMORT DEALER BONUS</t>
  </si>
  <si>
    <t>IDC6 - DEALER BONUS PAYABLE</t>
  </si>
  <si>
    <t>IDC6 - SUSP DEALER BONUS</t>
  </si>
  <si>
    <t>IDC7 - UNAMORT D/L DEALER RESERVE</t>
  </si>
  <si>
    <t>IDC7 - AMORT D/L DEALER RESERVE</t>
  </si>
  <si>
    <t>IDC7 - D/L DEALER RESERVE PAYABLE</t>
  </si>
  <si>
    <t>IDC7 - D/L SUSP DEALER RESERVE</t>
  </si>
  <si>
    <t>IDC7 - UNAMORT O/L DEALER RESERVE</t>
  </si>
  <si>
    <t>IDC7 - AMORT O/L DEALER RESERVE</t>
  </si>
  <si>
    <t>IDC7 - O/L DEALER RESERVE PAYABLE</t>
  </si>
  <si>
    <t>IDC7 - O/L SUSP DEALER RESERVE</t>
  </si>
  <si>
    <t>IDC7 - UNAMORT DEALER RESERVE</t>
  </si>
  <si>
    <t>IDC7 - AMORT DEALER RESERVE</t>
  </si>
  <si>
    <t>IDC7 - DEALER RESERVE PAYABLE</t>
  </si>
  <si>
    <t>IDC7 - SUSP DEALER RESERVE</t>
  </si>
  <si>
    <t>ASSMT RECV - LEASE FEE 1</t>
  </si>
  <si>
    <t>ASSMT RECV - LEASE FEE 2</t>
  </si>
  <si>
    <t>ASSMT RECV - LEASE FEE 3</t>
  </si>
  <si>
    <t>ASSMT RECV - LEASE FEE 4</t>
  </si>
  <si>
    <t>ASSMT RECV - LEASE FEE 5</t>
  </si>
  <si>
    <t>ASSMT RECV - LEASE FEE 6</t>
  </si>
  <si>
    <t>ASSMT RECV - LEASE FEE 7</t>
  </si>
  <si>
    <t>ASSMT RECV - LEASE FEE 8</t>
  </si>
  <si>
    <t>ASSMT RECV - LEASE FEE 9</t>
  </si>
  <si>
    <t>ASSMT RECV - LEASE FEE 10</t>
  </si>
  <si>
    <t>ASSMT RECV - LEASE FEE 11</t>
  </si>
  <si>
    <t>ASSMT RECV - LEASE FEE 12</t>
  </si>
  <si>
    <t>ASSMT RECV - LEASE FEE 13</t>
  </si>
  <si>
    <t>ASSMT RECV - LEASE FEE 14</t>
  </si>
  <si>
    <t>ASSMT RECV - LEASE FEE 15</t>
  </si>
  <si>
    <t>ASSMT RECV - LEASE FEE 16</t>
  </si>
  <si>
    <t>ASSMT RECV - LEASE FEE 17</t>
  </si>
  <si>
    <t>ASSMT RECV - LEASE FEE 18</t>
  </si>
  <si>
    <t>ASSMT RECV - LEASE FEE 19</t>
  </si>
  <si>
    <t>ASSMT RECV - LEASE FEE 20</t>
  </si>
  <si>
    <t>ASSMT RECV - ASSET FEE 1</t>
  </si>
  <si>
    <t>ASSMT RECV - ASSET FEE 2</t>
  </si>
  <si>
    <t>ASSMT RECV - ASSET FEE 3</t>
  </si>
  <si>
    <t>ASSMT RECV - ASSET FEE 4</t>
  </si>
  <si>
    <t>ASSMT RECV - ASSET FEE 5</t>
  </si>
  <si>
    <t>ASSMT RECV - ASSET FEE 6</t>
  </si>
  <si>
    <t>ASSMT RECV - ASSET FEE 7</t>
  </si>
  <si>
    <t>ASSMT RECV - ASSET FEE 8</t>
  </si>
  <si>
    <t>ASSMT RECV - ASSET FEE 9</t>
  </si>
  <si>
    <t>ASSMT RECV - ASSET FEE 10</t>
  </si>
  <si>
    <t>ASSMT RECV - RCR CHR 16</t>
  </si>
  <si>
    <t>ASSMT RECV - RCR CHR 17</t>
  </si>
  <si>
    <t>ASSMT RECV - RCR CHR 18</t>
  </si>
  <si>
    <t>ASSMT RECV - RCR CHR 19</t>
  </si>
  <si>
    <t>ASSMT RECV - RCR CHR 20</t>
  </si>
  <si>
    <t>ASSMT RECV - RCR CHR 21</t>
  </si>
  <si>
    <t>ASSMT RECV - RCR CHR 22</t>
  </si>
  <si>
    <t>ASSMT RECV - RCR CHR 23</t>
  </si>
  <si>
    <t>ASSMT RECV - RCR CHR 24</t>
  </si>
  <si>
    <t>ASSMT RECV - RCR CHR 25</t>
  </si>
  <si>
    <t>ASSMT RECV - RCR CHR 26</t>
  </si>
  <si>
    <t>ASSMT RECV - RCR CHR 27</t>
  </si>
  <si>
    <t>ASSMT RECV - RCR CHR 28</t>
  </si>
  <si>
    <t>ASSMT RECV - RCR CHR 29</t>
  </si>
  <si>
    <t>ASSMT RECV - RCR CHR 30</t>
  </si>
  <si>
    <t>ASSMT RECV - RCR CHR 31</t>
  </si>
  <si>
    <t>ASSMT RECV - RCR CHR 32</t>
  </si>
  <si>
    <t>ASSMT RECV - RCR CHR 33</t>
  </si>
  <si>
    <t>ASSMT RECV - RCR CHR 34</t>
  </si>
  <si>
    <t>ASSMT RECV - RCR CHR 35</t>
  </si>
  <si>
    <t>ASSMT INC - LEASE FEE 1</t>
  </si>
  <si>
    <t>ASSMT INC - LEASE FEE 2</t>
  </si>
  <si>
    <t>ASSMT INC - LEASE FEE 3</t>
  </si>
  <si>
    <t>ASSMT INC - LEASE FEE 4</t>
  </si>
  <si>
    <t>ASSMT INC - LEASE FEE 5</t>
  </si>
  <si>
    <t>ASSMT INC - LEASE FEE 6</t>
  </si>
  <si>
    <t>ASSMT INC - LEASE FEE 7</t>
  </si>
  <si>
    <t>ASSMT INC - LEASE FEE 8</t>
  </si>
  <si>
    <t>ASSMT INC - LEASE FEE 9</t>
  </si>
  <si>
    <t>ASSMT INC - LEASE FEE 10</t>
  </si>
  <si>
    <t>ASSMT INC - LEASE FEE 11</t>
  </si>
  <si>
    <t>ASSMT INC - LEASE FEE 12</t>
  </si>
  <si>
    <t>ASSMT INC - LEASE FEE 13</t>
  </si>
  <si>
    <t>ASSMT INC - LEASE FEE 14</t>
  </si>
  <si>
    <t>ASSMT INC - LEASE FEE 15</t>
  </si>
  <si>
    <t>ASSMT INC - LEASE FEE 16</t>
  </si>
  <si>
    <t>ASSMT INC - LEASE FEE 17</t>
  </si>
  <si>
    <t>ASSMT INC - LEASE FEE 18</t>
  </si>
  <si>
    <t>ASSMT INC - LEASE FEE 19</t>
  </si>
  <si>
    <t>ASSMT INC - LEASE FEE 20</t>
  </si>
  <si>
    <t>ASSMT INC - ASSET FEE 1</t>
  </si>
  <si>
    <t>ASSMT INC - ASSET FEE 2</t>
  </si>
  <si>
    <t>ASSMT INC - ASSET FEE 3</t>
  </si>
  <si>
    <t>ASSMT INC - ASSET FEE 4</t>
  </si>
  <si>
    <t>ASSMT INC - ASSET FEE 5</t>
  </si>
  <si>
    <t>ASSMT INC - ASSET FEE 6</t>
  </si>
  <si>
    <t>ASSMT INC - ASSET FEE 7</t>
  </si>
  <si>
    <t>ASSMT INC - ASSET FEE 8</t>
  </si>
  <si>
    <t>ASSMT INC - ASSET FEE 9</t>
  </si>
  <si>
    <t>ASSMT INC - ASSET FEE 10</t>
  </si>
  <si>
    <t>ASSMT INC/PAY - RCR CHG 16</t>
  </si>
  <si>
    <t>ASSMT INC/PAY - RCR CHG 17</t>
  </si>
  <si>
    <t>ASSMT INC/PAY - RCR CHG 18</t>
  </si>
  <si>
    <t>ASSMT INC/PAY - RCR CHG 19</t>
  </si>
  <si>
    <t>ASSMT INC/PAY - RCR CHG 20</t>
  </si>
  <si>
    <t>ASSMT INC/PAY - RCR CHG 21</t>
  </si>
  <si>
    <t>ASSMT INC/PAY - RCR CHG 22</t>
  </si>
  <si>
    <t>ASSMT INC/PAY - RCR CHG 23</t>
  </si>
  <si>
    <t>ASSMT INC/PAY - RCR CHG 24</t>
  </si>
  <si>
    <t>ASSMT INC/PAY - RCR CHG 25</t>
  </si>
  <si>
    <t>ASSMT INC/PAY - RCR CHG 26</t>
  </si>
  <si>
    <t>ASSMT INC/PAY - RCR CHG 27</t>
  </si>
  <si>
    <t>ASSMT INC/PAY - RCR CHG 28</t>
  </si>
  <si>
    <t>ASSMT INC/PAY - RCR CHG 29</t>
  </si>
  <si>
    <t>ASSMT INC/PAY - RCR CHG 30</t>
  </si>
  <si>
    <t>ASSMT INC/PAY - RCR CHG 31</t>
  </si>
  <si>
    <t>ASSMT INC/PAY - RCR CHG 32</t>
  </si>
  <si>
    <t>ASSMT INC/PAY - RCR CHG 33</t>
  </si>
  <si>
    <t>ASSMT INC/PAY - RCR CHG 34</t>
  </si>
  <si>
    <t>ASSMT INC/PAY - RCR CHG 35</t>
  </si>
  <si>
    <t>CLEARING - CHANGE KEY</t>
  </si>
  <si>
    <t>EOT LSE GROSS CHRG-OFF - ASSUM FEE</t>
  </si>
  <si>
    <t>EOT LSE GROSS CHRG-OFF - COLL FEE</t>
  </si>
  <si>
    <t>EOT LSE GROSS CHRG-OFF - ITC FEE</t>
  </si>
  <si>
    <t>EOT LSE GROSS CHRG-OFF - LEGAL FEE</t>
  </si>
  <si>
    <t>EOT LSE GROSS CHRG-OFF - LSE EXT FEE</t>
  </si>
  <si>
    <t>EOT LSE GROSS CHRG-OFF - LSE RWT FEE</t>
  </si>
  <si>
    <t>EOT LSE GROSS CHRG-OFF - LATE CHARGE</t>
  </si>
  <si>
    <t>EOT LSE GROSS CHRG-OFF - OTHER FEE</t>
  </si>
  <si>
    <t>EOT LSE GROSS CHRG-OFF - PMT EXT FEE</t>
  </si>
  <si>
    <t>EOT LSE GROSS CHRG-OFF - LSE FEE 1</t>
  </si>
  <si>
    <t>EOT LSE GROSS CHRG-OFF - LSE FEE 2</t>
  </si>
  <si>
    <t>EOT LSE GROSS CHRG-OFF - LSE FEE 3</t>
  </si>
  <si>
    <t>EOT LSE GROSS CHRG-OFF - LSE FEE 4</t>
  </si>
  <si>
    <t>EOT LSE GROSS CHRG-OFF - LSE FEE 5</t>
  </si>
  <si>
    <t>EOT LSE GROSS CHRG-OFF - LSE FEE 6</t>
  </si>
  <si>
    <t>EOT LSE GROSS CHRG-OFF - LSE FEE 7</t>
  </si>
  <si>
    <t>EOT LSE GROSS CHRG-OFF - LSE FEE 8</t>
  </si>
  <si>
    <t>EOT LSE GROSS CHRG-OFF - LSE FEE 9</t>
  </si>
  <si>
    <t>EOT LSE GROSS CHRG-OFF - LSE FEE 10</t>
  </si>
  <si>
    <t>EOT LSE GROSS CHRG-OFF - LSE FEE 11</t>
  </si>
  <si>
    <t>EOT LSE GROSS CHRG-OFF - LSE FEE 12</t>
  </si>
  <si>
    <t>EOT LSE GROSS CHRG-OFF - LSE FEE 13</t>
  </si>
  <si>
    <t>EOT LSE GROSS CHRG-OFF - LSE FEE 14</t>
  </si>
  <si>
    <t>EOT LSE GROSS CHRG-OFF - LSE FEE 15</t>
  </si>
  <si>
    <t>EOT LSE GROSS CHRG-OFF - LSE FEE 16</t>
  </si>
  <si>
    <t>EOT LSE GROSS CHRG-OFF - LSE FEE 17</t>
  </si>
  <si>
    <t>EOT LSE GROSS CHRG-OFF - LSE FEE 18</t>
  </si>
  <si>
    <t>EOT LSE GROSS CHRG-OFF - LSE FEE 19</t>
  </si>
  <si>
    <t>EOT LSE GROSS CHRG-OFF - LSE FEE 20</t>
  </si>
  <si>
    <t>CASH 499</t>
  </si>
  <si>
    <t>CASH 500</t>
  </si>
  <si>
    <t>CASH 501</t>
  </si>
  <si>
    <t>CASH 502</t>
  </si>
  <si>
    <t>CASH 503</t>
  </si>
  <si>
    <t>CASH 504</t>
  </si>
  <si>
    <t>CASH 505</t>
  </si>
  <si>
    <t>CASH 506</t>
  </si>
  <si>
    <t>CASH 507</t>
  </si>
  <si>
    <t>CASH 508</t>
  </si>
  <si>
    <t>CASH 509</t>
  </si>
  <si>
    <t>CASH 510</t>
  </si>
  <si>
    <t>CASH 511</t>
  </si>
  <si>
    <t>CASH 512</t>
  </si>
  <si>
    <t>CASH 513</t>
  </si>
  <si>
    <t>CASH 514</t>
  </si>
  <si>
    <t>CASH 515</t>
  </si>
  <si>
    <t>CASH 516</t>
  </si>
  <si>
    <t>CASH 517</t>
  </si>
  <si>
    <t>CASH 518</t>
  </si>
  <si>
    <t>CASH 519</t>
  </si>
  <si>
    <t>CASH 520</t>
  </si>
  <si>
    <t>IDC8-UNAMORTIZED RESERVES</t>
  </si>
  <si>
    <t>IDC8-RESERVES PAYABLE</t>
  </si>
  <si>
    <t>IDC8-UNAMORT D/L RESERVES</t>
  </si>
  <si>
    <t>IDC8-D/L RESERVES PAYABLE</t>
  </si>
  <si>
    <t>IDC8-UNAMORT D/L-O/L RESERVES</t>
  </si>
  <si>
    <t>IDC8-D/L-O/L RESERVES PAYABLE</t>
  </si>
  <si>
    <t>ALT:IDC8-UNAMORT RESERVES</t>
  </si>
  <si>
    <t>ALT:IDC8-RESERVES PAYABLE</t>
  </si>
  <si>
    <t>IDC9-UNAMORTIZED RESERVES</t>
  </si>
  <si>
    <t>IDC9-RESERVES PAYABLE</t>
  </si>
  <si>
    <t>IDC9-UNAMORT D/L RESERVES</t>
  </si>
  <si>
    <t>IDC9-D/L RESERVES PAYABLE</t>
  </si>
  <si>
    <t>IDC9-UNAMORT D/L-O/L RESERVES</t>
  </si>
  <si>
    <t>IDC9-D/L-O/L RESERVES PAYABLE</t>
  </si>
  <si>
    <t>ALT:IDC9-UNAMORT RESERVES</t>
  </si>
  <si>
    <t>ALT:IDC9-RESERVES PAYABLE</t>
  </si>
  <si>
    <t>IDCA-UNAMORTIZED RESERVES</t>
  </si>
  <si>
    <t>IDCA-RESERVES PAYABLE</t>
  </si>
  <si>
    <t>IDCA-UNAMORT D/L RESERVES</t>
  </si>
  <si>
    <t>IDCA-D/L RESERVES PAYABLE</t>
  </si>
  <si>
    <t>IDCA-UNAMORT D/L-O/L RESERVES</t>
  </si>
  <si>
    <t>IDCA-D/L-O/L RESERVES PAYABLE</t>
  </si>
  <si>
    <t>ALT:IDCA-UNAMORT RESERVES</t>
  </si>
  <si>
    <t>ALT:IDCA-RESERVES PAYABLE</t>
  </si>
  <si>
    <t>IDCB-UNAMORTIZED RESERVES</t>
  </si>
  <si>
    <t>IDCB-RESERVES PAYABLE</t>
  </si>
  <si>
    <t>IDCB-UNAMORT D/L RESERVES</t>
  </si>
  <si>
    <t>IDCB-D/L RESERVES PAYABLE</t>
  </si>
  <si>
    <t>IDCB-UNAMORT D/L-O/L RESERVES</t>
  </si>
  <si>
    <t>IDCB-D/L-O/L RESERVES PAYABLE</t>
  </si>
  <si>
    <t>ALT:IDCB-UNAMORT RESERVES</t>
  </si>
  <si>
    <t>ALT:IDCB-RESERVES PAYABLE</t>
  </si>
  <si>
    <t>IDCC-UNAMORTIZED RESERVES</t>
  </si>
  <si>
    <t>IDCC-RESERVES PAYABLE</t>
  </si>
  <si>
    <t>IDCC-UNAMORT D/L RESERVES</t>
  </si>
  <si>
    <t>IDCC-D/L RESERVES PAYABLE</t>
  </si>
  <si>
    <t>IDCC-UNAMORT D/L-O/L RESERVES</t>
  </si>
  <si>
    <t>IDCC-D/L-O/L RESERVES PAYABLE</t>
  </si>
  <si>
    <t>ALT:IDCC-UNAMORT RESERVES</t>
  </si>
  <si>
    <t>ALT:IDCC-RESERVES PAYABLE</t>
  </si>
  <si>
    <t>IDCD-UNAMORTIZED RESERVES</t>
  </si>
  <si>
    <t>IDCD-RESERVES PAYABLE</t>
  </si>
  <si>
    <t>IDCD-UNAMORT D/L RESERVES</t>
  </si>
  <si>
    <t>IDCD-D/L RESERVES PAYABLE</t>
  </si>
  <si>
    <t>IDCD-UNAMORT D/L-O/L RESERVES</t>
  </si>
  <si>
    <t>IDCD-D/L-O/L RESERVES PAYABLE</t>
  </si>
  <si>
    <t>ALT:IDCD-UNAMORT RESERVES</t>
  </si>
  <si>
    <t>ALT:IDCD-RESERVES PAYABLE</t>
  </si>
  <si>
    <t>IDCE-UNAMORTIZED RESERVES</t>
  </si>
  <si>
    <t>IDCE-RESERVES PAYABLE</t>
  </si>
  <si>
    <t>IDCE-UNAMORT D/L RESERVES</t>
  </si>
  <si>
    <t>IDCE-D/L RESERVES PAYABLE</t>
  </si>
  <si>
    <t>IDCE-UNAMORT D/L-O/L RESERVES</t>
  </si>
  <si>
    <t>IDCE-D/L-O/L RESERVES PAYABLE</t>
  </si>
  <si>
    <t>ALT:IDCE-UNAMORT RESERVES</t>
  </si>
  <si>
    <t>ALT:IDCE-RESERVES PAYABLE</t>
  </si>
  <si>
    <t>IDCF-UNAMORTIZED RESERVES</t>
  </si>
  <si>
    <t>IDCF-RESERVES PAYABLE</t>
  </si>
  <si>
    <t>IDCF-UNAMORT D/L RESERVES</t>
  </si>
  <si>
    <t>IDCF-D/L RESERVES PAYABLE</t>
  </si>
  <si>
    <t>IDCF-UNAMORT D/L-O/L RESERVES</t>
  </si>
  <si>
    <t>IDCF-D/L-O/L RESERVES PAYABLE</t>
  </si>
  <si>
    <t>ALT:IDCF-UNAMORT RESERVES</t>
  </si>
  <si>
    <t>ALT:IDCF-RESERVES PAYABLE</t>
  </si>
  <si>
    <t>IDCG-UNAMORTIZED RESERVES</t>
  </si>
  <si>
    <t>IDCG-RESERVES PAYABLE</t>
  </si>
  <si>
    <t>IDCG-UNAMORT D/L RESERVES</t>
  </si>
  <si>
    <t>IDCG-D/L RESERVES PAYABLE</t>
  </si>
  <si>
    <t>IDCG-UNAMORT D/L-O/L RESERVES</t>
  </si>
  <si>
    <t>IDCG-D/L-O/L RESERVES PAYABLE</t>
  </si>
  <si>
    <t>ALT:IDCG-UNAMORT RESERVES</t>
  </si>
  <si>
    <t>ALT:IDCG-RESERVES PAYABLE</t>
  </si>
  <si>
    <t>IDCH-UNAMORTIZED RESERVES</t>
  </si>
  <si>
    <t>IDCH-RESERVES PAYABLE</t>
  </si>
  <si>
    <t>IDCH-UNAMORT D/L RESERVES</t>
  </si>
  <si>
    <t>IDCH-D/L RESERVES PAYABLE</t>
  </si>
  <si>
    <t>IDCH-UNAMORT D/L-O/L RESERVES</t>
  </si>
  <si>
    <t>IDCH-D/L-O/L RESERVES PAYABLE</t>
  </si>
  <si>
    <t>ALT:IDCH-UNAMORT RESERVES</t>
  </si>
  <si>
    <t>ALT:IDCH-RESERVES PAYABLE</t>
  </si>
  <si>
    <t>SUPPLEMENTAL DEPRECIATION EXPENSE</t>
  </si>
  <si>
    <t>ACCUMULATED SUPPLEMENTL DEPRECIATION</t>
  </si>
  <si>
    <t>EOT SUPPLEMENTL DEPRECIATION RELEASE</t>
  </si>
  <si>
    <t>IDC8 - FASB91 INCOME ADJUSTMENT</t>
  </si>
  <si>
    <t>IDC9 - FASB91 INCOME ADJUSTMENT</t>
  </si>
  <si>
    <t>IDCA - FASB91 INCOME ADJUSTMENT</t>
  </si>
  <si>
    <t>IDCB - FASB91 INCOME ADJUSTMENT</t>
  </si>
  <si>
    <t>IDCC - FASB91 INCOME ADJUSTMENT</t>
  </si>
  <si>
    <t>IDCD - FASB91 INCOME ADJUSTMENT</t>
  </si>
  <si>
    <t>IDCE - FASB91 INCOME ADJUSTMENT</t>
  </si>
  <si>
    <t>IDCF - FASB91 INCOME ADJUSTMENT</t>
  </si>
  <si>
    <t>IDCG - FASB91 INCOME ADJUSTMENT</t>
  </si>
  <si>
    <t>IDCH - FASB91 INCOME ADJUSTMENT</t>
  </si>
  <si>
    <t>IDC8 - SUSP FASB91 INCOME ADJUSTMENT</t>
  </si>
  <si>
    <t>IDC9 - SUSP FASB91 INCOME ADJUSTMENT</t>
  </si>
  <si>
    <t>IDCA - SUSP FASB91 INCOME ADJUSTMENT</t>
  </si>
  <si>
    <t>IDCB - SUSP FASB91 INCOME ADJUSTMENT</t>
  </si>
  <si>
    <t>IDCC - SUSP FASB91 INCOME ADJUSTMENT</t>
  </si>
  <si>
    <t>IDCD - SUSP FASB91 INCOME ADJUSTMENT</t>
  </si>
  <si>
    <t>IDCE - SUSP FASB91 INCOME ADJUSTMENT</t>
  </si>
  <si>
    <t>IDCF - SUSP FASB91 INCOME ADJUSTMENT</t>
  </si>
  <si>
    <t>IDCG - SUSP FASB91 INCOME ADJUSTMENT</t>
  </si>
  <si>
    <t>IDCH - SUSP FASB91 INCOME ADJUSTMENT</t>
  </si>
  <si>
    <t>IDC8 AMORTIZATION</t>
  </si>
  <si>
    <t>IDC9 AMORTIZATION</t>
  </si>
  <si>
    <t>IDCA AMORTIZATION</t>
  </si>
  <si>
    <t>IDCB AMORTIZATION</t>
  </si>
  <si>
    <t>IDCC AMORTIZATION</t>
  </si>
  <si>
    <t>IDCD AMORTIZATION</t>
  </si>
  <si>
    <t>IDCE AMORTIZATION</t>
  </si>
  <si>
    <t>IDCF AMORTIZATION</t>
  </si>
  <si>
    <t>IDCG AMORTIZATION</t>
  </si>
  <si>
    <t>IDCH AMORTIZATION</t>
  </si>
  <si>
    <t>IDC8 - SUSPENDED AMORTIZATION</t>
  </si>
  <si>
    <t>IDC9 - SUSPENDED AMORTIZATION</t>
  </si>
  <si>
    <t>IDCA - SUSPENDED AMORTIZATION</t>
  </si>
  <si>
    <t>IDCB - SUSPENDED AMORTIZATION</t>
  </si>
  <si>
    <t>IDCC - SUSPENDED AMORTIZATION</t>
  </si>
  <si>
    <t>IDCD - SUSPENDED AMORTIZATION</t>
  </si>
  <si>
    <t>IDCE - SUSPENDED AMORTIZATION</t>
  </si>
  <si>
    <t>IDCF - SUSPENDED AMORTIZATION</t>
  </si>
  <si>
    <t>IDCG - SUSPENDED AMORTIZATION</t>
  </si>
  <si>
    <t>IDCH - SUSPENDED AMORTIZATION</t>
  </si>
  <si>
    <t>IDC8 - TOTAL RESERVES PAYABLE</t>
  </si>
  <si>
    <t>IDC9 - TOTAL RESERVES PAYABLE</t>
  </si>
  <si>
    <t>IDCA - TOTAL RESERVES PAYABLE</t>
  </si>
  <si>
    <t>IDCB - TOTAL RESERVES PAYABLE</t>
  </si>
  <si>
    <t>IDCC - TOTAL RESERVES PAYABLE</t>
  </si>
  <si>
    <t>IDCD - TOTAL RESERVES PAYABLE</t>
  </si>
  <si>
    <t>IDCE - TOTAL RESERVES PAYABLE</t>
  </si>
  <si>
    <t>IDCF - TOTAL RESERVES PAYABLE</t>
  </si>
  <si>
    <t>IDCG - TOTAL RESERVES PAYABLE</t>
  </si>
  <si>
    <t>IDCH - TOTAL RESERVES PAYABLE</t>
  </si>
  <si>
    <t>IDC8 - ALT:LEASE INCOME ADJUSTMENT</t>
  </si>
  <si>
    <t>IDC9 - ALT:LEASE INCOME ADJUSTMENT</t>
  </si>
  <si>
    <t>IDCA - ALT:LEASE INCOME ADJUSTMENT</t>
  </si>
  <si>
    <t>IDCB - ALT:LEASE INCOME ADJUSTMENT</t>
  </si>
  <si>
    <t>IDCC - ALT:LEASE INCOME ADJUSTMENT</t>
  </si>
  <si>
    <t>IDCD - ALT:LEASE INCOME ADJUSTMENT</t>
  </si>
  <si>
    <t>IDCE - ALT:LEASE INCOME ADJUSTMENT</t>
  </si>
  <si>
    <t>IDCF - ALT:LEASE INCOME ADJUSTMENT</t>
  </si>
  <si>
    <t>IDCG - ALT:LEASE INCOME ADJUSTMENT</t>
  </si>
  <si>
    <t>IDCH - ALT:LEASE INCOME ADJUSTMENT</t>
  </si>
  <si>
    <t>SALES TAX RECEIVABLE</t>
  </si>
  <si>
    <t>USE TAX CLEARING</t>
  </si>
  <si>
    <t>UNAMORTIZED IDC COST - ASC 842</t>
  </si>
  <si>
    <t>SUSPENDED IDC ACCRUED - ASC 842</t>
  </si>
  <si>
    <t>IDC OFFSET - ASC 842</t>
  </si>
  <si>
    <t>IDC AMORTIZATION - ASC 842</t>
  </si>
  <si>
    <t>DEFERRED IDC AMORTIZATION - ASC 842</t>
  </si>
  <si>
    <t>DEFERRED SUSP IDC ACCRUED - ASC 842</t>
  </si>
  <si>
    <t>VALUATION RESERVE</t>
  </si>
  <si>
    <t>RECOVERY</t>
  </si>
  <si>
    <t>DEFERRED OPERATING LEASE INCOME</t>
  </si>
  <si>
    <t>IDC3-UNAMORTIZED FIXED RESERVES</t>
  </si>
  <si>
    <t>Definition</t>
  </si>
  <si>
    <t>BANK CHECK</t>
  </si>
  <si>
    <t>BNKC</t>
  </si>
  <si>
    <t>CREDIT UNION CHECK</t>
  </si>
  <si>
    <t>CRUN</t>
  </si>
  <si>
    <t>CUSTOMER CHECK</t>
  </si>
  <si>
    <t>CUSC</t>
  </si>
  <si>
    <t>DEALER CHECK</t>
  </si>
  <si>
    <t>DLRC</t>
  </si>
  <si>
    <t>INSC</t>
  </si>
  <si>
    <t>INSURANCE CHECK</t>
  </si>
  <si>
    <t>Asset Status</t>
  </si>
  <si>
    <t>NLSE/ULSE</t>
  </si>
  <si>
    <t>NRIN/URIN</t>
  </si>
  <si>
    <t>NRIV/URIV</t>
  </si>
  <si>
    <t>NRPR/URPR</t>
  </si>
  <si>
    <t>NRPS/URPS</t>
  </si>
  <si>
    <t>NRSL/URSL</t>
  </si>
  <si>
    <t>NSLD/USLD</t>
  </si>
  <si>
    <t>NEW/USED ON LEASE</t>
  </si>
  <si>
    <t>The asset is currently on lease. LeasePak automatically assigns this status to the asset when it is booked to a lease through the Book Lease option of the New Lease update [U0101], the Rebook update [U0116], or the Asset Add-on update [U0113].</t>
  </si>
  <si>
    <t>The asset is currently in inventory. LeasePak automatically assigns this status to the asset when it is returned to inventory through the Rebook update [U0116] or the Termination option of the Payoff update [U0103]. This status is also assigned to the asset if a disbursement to pay the vendor for the cost of the asset is made (through the Check Disbursal option of the New Lease update [U0101].</t>
  </si>
  <si>
    <t>NEW/USED IN INVENTORY</t>
  </si>
  <si>
    <t xml:space="preserve">NEW/USED PRE INVENTORY </t>
  </si>
  <si>
    <t>The asset is newly entered into inventory. Only assets with this status may be deleted from inventory using the Delete Asset option of the New Lease update [U0101]. LeasePak automatically assigns this status to the asset when it is placed in inventory through the Add Asset option of the New Lease update [U0101].</t>
  </si>
  <si>
    <t>NEW/USED IN REPAIR</t>
  </si>
  <si>
    <t>The asset is in repair. This status is reserved for future system use.</t>
  </si>
  <si>
    <t xml:space="preserve">NEW/USED REPOSSESSED </t>
  </si>
  <si>
    <t>The asset is repossessed. This status is reserved for future system use.</t>
  </si>
  <si>
    <t>The asset is being held for a pending sale. This status is reserved for future system use.</t>
  </si>
  <si>
    <t xml:space="preserve">NEW/USED FOR SALE </t>
  </si>
  <si>
    <t>NEW/USED ASSET SOLD</t>
  </si>
  <si>
    <t>The asset has been sold. LeasePak automatically assigns this status to the asset when it is sold through the Payoff option (lease or asset payoff) or the Sale of Asset in Inventory option of the Payoff update [U0103].</t>
  </si>
  <si>
    <t>RABO </t>
  </si>
  <si>
    <t xml:space="preserve"> ABANDONED INTEREST</t>
  </si>
  <si>
    <t xml:space="preserve">REAU </t>
  </si>
  <si>
    <t xml:space="preserve"> REPO DROP TO AUCTION</t>
  </si>
  <si>
    <t xml:space="preserve">RECA </t>
  </si>
  <si>
    <t xml:space="preserve"> REPO CANCELLED</t>
  </si>
  <si>
    <t xml:space="preserve">RECO </t>
  </si>
  <si>
    <t xml:space="preserve"> VEHICLE REPOSSESSED ON</t>
  </si>
  <si>
    <t xml:space="preserve">REDL </t>
  </si>
  <si>
    <t xml:space="preserve"> UNIT RETURNED TO DEALERSHIP</t>
  </si>
  <si>
    <t xml:space="preserve">REED </t>
  </si>
  <si>
    <t xml:space="preserve"> UNIT REDEEMED</t>
  </si>
  <si>
    <t xml:space="preserve">RELE </t>
  </si>
  <si>
    <t xml:space="preserve"> RELEASE SENT TO AUCTION</t>
  </si>
  <si>
    <t xml:space="preserve">REOR </t>
  </si>
  <si>
    <t xml:space="preserve"> REPO ORDERED ON</t>
  </si>
  <si>
    <t xml:space="preserve">REPO </t>
  </si>
  <si>
    <t xml:space="preserve"> GENERIC NOTE</t>
  </si>
  <si>
    <t xml:space="preserve">RESA </t>
  </si>
  <si>
    <t xml:space="preserve"> SOLD AT AUCTION</t>
  </si>
  <si>
    <t xml:space="preserve">RHLD </t>
  </si>
  <si>
    <t xml:space="preserve"> REPO ON HOLD</t>
  </si>
  <si>
    <t xml:space="preserve">RNOI </t>
  </si>
  <si>
    <t xml:space="preserve"> NOI SENT</t>
  </si>
  <si>
    <t xml:space="preserve">RTC </t>
  </si>
  <si>
    <t xml:space="preserve"> TRACKING NUMBER</t>
  </si>
  <si>
    <t xml:space="preserve">RTCS </t>
  </si>
  <si>
    <t xml:space="preserve"> RTC EXTENSION EXP</t>
  </si>
  <si>
    <t xml:space="preserve">SEND </t>
  </si>
  <si>
    <t xml:space="preserve"> TITLE TO AUCTION</t>
  </si>
  <si>
    <t xml:space="preserve">TITL </t>
  </si>
  <si>
    <t xml:space="preserve"> CONFIRMED ON FILE</t>
  </si>
  <si>
    <t xml:space="preserve">VALU </t>
  </si>
  <si>
    <t xml:space="preserve"> VALUTION COMPLETE</t>
  </si>
  <si>
    <t xml:space="preserve">VOLU </t>
  </si>
  <si>
    <t xml:space="preserve"> VOLUNTARY SURRENDER</t>
  </si>
  <si>
    <t xml:space="preserve"> Repo ordered</t>
  </si>
  <si>
    <t xml:space="preserve"> Recovered</t>
  </si>
  <si>
    <t xml:space="preserve"> RTC letter sent</t>
  </si>
  <si>
    <t xml:space="preserve"> Repo Sold</t>
  </si>
  <si>
    <t xml:space="preserve"> Repo Cancelled</t>
  </si>
  <si>
    <t xml:space="preserve"> Redeemed</t>
  </si>
  <si>
    <t xml:space="preserve">CURR </t>
  </si>
  <si>
    <t xml:space="preserve"> Paid current</t>
  </si>
  <si>
    <t xml:space="preserve"> Repo on 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</si>
</sst>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8"/>
      <color theme="1"/>
      <name val="Arial"/>
      <family val="2"/>
    </font>
    <font>
      <b/>
      <sz val="8"/>
      <color theme="1"/>
      <name val="Arial"/>
      <family val="2"/>
    </font>
    <font>
      <sz val="8"/>
      <name val="Arial"/>
      <family val="2"/>
    </font>
    <font>
      <sz val="11"/>
      <color theme="1"/>
      <name val="Calibri"/>
      <family val="2"/>
      <scheme val="minor"/>
    </font>
    <font>
      <b/>
      <sz val="14"/>
      <color theme="1"/>
      <name val="Arial"/>
      <family val="2"/>
    </font>
    <font>
      <b/>
      <sz val="10"/>
      <color theme="1"/>
      <name val="Arial"/>
      <family val="2"/>
    </font>
    <font>
      <b/>
      <sz val="11"/>
      <color theme="1"/>
      <name val="Calibri"/>
      <family val="2"/>
      <scheme val="minor"/>
    </font>
    <font>
      <b/>
      <sz val="8"/>
      <name val="Arial"/>
      <family val="2"/>
    </font>
    <font>
      <b/>
      <sz val="14"/>
      <name val="Arial"/>
      <family val="2"/>
    </font>
    <font>
      <sz val="11"/>
      <name val="Calibri"/>
      <family val="2"/>
      <scheme val="minor"/>
    </font>
    <font>
      <sz val="10"/>
      <name val="Arial"/>
      <family val="2"/>
    </font>
    <font>
      <u/>
      <sz val="10"/>
      <color indexed="12"/>
      <name val="Arial"/>
      <family val="2"/>
    </font>
    <font>
      <sz val="10"/>
      <color theme="1"/>
      <name val="Arial"/>
      <family val="2"/>
    </font>
    <font>
      <sz val="12"/>
      <color rgb="FF222222"/>
      <name val="Arial"/>
      <family val="2"/>
    </font>
    <font>
      <b/>
      <sz val="11"/>
      <color theme="1"/>
      <name val="Arial"/>
      <family val="2"/>
    </font>
    <font>
      <sz val="11"/>
      <color rgb="FF222222"/>
      <name val="Arial"/>
      <family val="2"/>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s>
  <cellStyleXfs count="5">
    <xf numFmtId="0" fontId="0" fillId="0" borderId="0"/>
    <xf numFmtId="0" fontId="4" fillId="0" borderId="0"/>
    <xf numFmtId="0" fontId="11" fillId="0" borderId="0"/>
    <xf numFmtId="0" fontId="12" fillId="0" borderId="0" applyNumberFormat="0" applyFill="0" applyBorder="0" applyAlignment="0" applyProtection="0">
      <alignment vertical="top"/>
      <protection locked="0"/>
    </xf>
    <xf numFmtId="0" fontId="4" fillId="0" borderId="0"/>
  </cellStyleXfs>
  <cellXfs count="75">
    <xf numFmtId="0" fontId="0" fillId="0" borderId="0" xfId="0"/>
    <xf numFmtId="0" fontId="1" fillId="0" borderId="0" xfId="0" applyFont="1" applyAlignment="1">
      <alignment wrapText="1"/>
    </xf>
    <xf numFmtId="0" fontId="1" fillId="0" borderId="0" xfId="0" applyFont="1"/>
    <xf numFmtId="0" fontId="1" fillId="0" borderId="0" xfId="0" applyFont="1" applyAlignment="1">
      <alignment vertical="center"/>
    </xf>
    <xf numFmtId="0" fontId="6" fillId="0" borderId="0" xfId="0" applyFont="1" applyAlignment="1">
      <alignment vertical="center"/>
    </xf>
    <xf numFmtId="0" fontId="6" fillId="0" borderId="0" xfId="0" applyFont="1" applyAlignment="1">
      <alignment wrapText="1"/>
    </xf>
    <xf numFmtId="0" fontId="1" fillId="0" borderId="1" xfId="0" applyFont="1" applyBorder="1" applyAlignment="1">
      <alignment vertical="center"/>
    </xf>
    <xf numFmtId="0" fontId="1" fillId="0" borderId="1" xfId="0" applyFont="1" applyBorder="1" applyAlignment="1">
      <alignment wrapText="1"/>
    </xf>
    <xf numFmtId="0" fontId="5" fillId="0" borderId="4" xfId="0" applyFont="1" applyBorder="1" applyAlignment="1">
      <alignment horizontal="center" vertical="center"/>
    </xf>
    <xf numFmtId="0" fontId="5" fillId="0" borderId="5" xfId="0" applyFont="1" applyBorder="1" applyAlignment="1">
      <alignment horizontal="center" wrapText="1"/>
    </xf>
    <xf numFmtId="0" fontId="5" fillId="0" borderId="6" xfId="0" applyFont="1" applyBorder="1" applyAlignment="1">
      <alignment horizontal="center" wrapText="1"/>
    </xf>
    <xf numFmtId="0" fontId="1" fillId="0" borderId="3" xfId="0" applyFont="1" applyBorder="1" applyAlignment="1">
      <alignment vertical="center"/>
    </xf>
    <xf numFmtId="0" fontId="1" fillId="0" borderId="3" xfId="0" applyFont="1" applyBorder="1" applyAlignment="1">
      <alignment wrapText="1"/>
    </xf>
    <xf numFmtId="0" fontId="3" fillId="0" borderId="0" xfId="1" applyFont="1"/>
    <xf numFmtId="0" fontId="5" fillId="0" borderId="4" xfId="0" applyFont="1" applyBorder="1"/>
    <xf numFmtId="0" fontId="5" fillId="0" borderId="5" xfId="0" applyFont="1" applyBorder="1"/>
    <xf numFmtId="0" fontId="2" fillId="0" borderId="5" xfId="0" applyFont="1" applyBorder="1"/>
    <xf numFmtId="0" fontId="9" fillId="0" borderId="4" xfId="0" applyFont="1" applyBorder="1"/>
    <xf numFmtId="0" fontId="10" fillId="0" borderId="0" xfId="0" applyFont="1"/>
    <xf numFmtId="0" fontId="9" fillId="0" borderId="7" xfId="0" applyFont="1" applyBorder="1"/>
    <xf numFmtId="0" fontId="3" fillId="0" borderId="9" xfId="1" applyFont="1" applyBorder="1" applyAlignment="1">
      <alignment wrapText="1"/>
    </xf>
    <xf numFmtId="0" fontId="3" fillId="0" borderId="11" xfId="1" applyFont="1" applyBorder="1" applyAlignment="1">
      <alignment wrapText="1"/>
    </xf>
    <xf numFmtId="0" fontId="8" fillId="0" borderId="11" xfId="1" applyFont="1" applyBorder="1" applyAlignment="1">
      <alignment wrapText="1"/>
    </xf>
    <xf numFmtId="0" fontId="3" fillId="0" borderId="13" xfId="1" applyFont="1" applyBorder="1" applyAlignment="1">
      <alignment wrapText="1"/>
    </xf>
    <xf numFmtId="0" fontId="3" fillId="0" borderId="8" xfId="1" applyFont="1" applyBorder="1"/>
    <xf numFmtId="0" fontId="3" fillId="0" borderId="10" xfId="1" applyFont="1" applyBorder="1"/>
    <xf numFmtId="0" fontId="3" fillId="0" borderId="12" xfId="1" applyFont="1" applyBorder="1"/>
    <xf numFmtId="0" fontId="5" fillId="0" borderId="14" xfId="0" applyFont="1" applyBorder="1"/>
    <xf numFmtId="0" fontId="5" fillId="0" borderId="2" xfId="0" applyFont="1" applyBorder="1"/>
    <xf numFmtId="0" fontId="1" fillId="0" borderId="15" xfId="0" applyFont="1" applyBorder="1" applyAlignment="1">
      <alignment vertical="center"/>
    </xf>
    <xf numFmtId="0" fontId="1" fillId="0" borderId="10" xfId="0" applyFont="1" applyBorder="1" applyAlignment="1">
      <alignment vertical="center"/>
    </xf>
    <xf numFmtId="0" fontId="1" fillId="0" borderId="12" xfId="0" applyFont="1" applyBorder="1" applyAlignment="1">
      <alignment vertical="center"/>
    </xf>
    <xf numFmtId="0" fontId="1" fillId="0" borderId="16" xfId="0" applyFont="1" applyBorder="1" applyAlignment="1">
      <alignment wrapText="1"/>
    </xf>
    <xf numFmtId="0" fontId="7" fillId="0" borderId="0" xfId="0" applyFont="1"/>
    <xf numFmtId="0" fontId="7" fillId="0" borderId="0" xfId="0" applyFont="1" applyAlignment="1">
      <alignment wrapText="1"/>
    </xf>
    <xf numFmtId="0" fontId="1" fillId="2" borderId="0" xfId="0" applyFont="1" applyFill="1"/>
    <xf numFmtId="0" fontId="0" fillId="2" borderId="0" xfId="0" applyFill="1"/>
    <xf numFmtId="0" fontId="1" fillId="0" borderId="1" xfId="0" applyFont="1" applyBorder="1" applyAlignment="1">
      <alignment vertical="center" wrapText="1"/>
    </xf>
    <xf numFmtId="0" fontId="1" fillId="0" borderId="1" xfId="4" applyFont="1" applyBorder="1"/>
    <xf numFmtId="0" fontId="13" fillId="0" borderId="0" xfId="4" applyFont="1"/>
    <xf numFmtId="0" fontId="1" fillId="0" borderId="0" xfId="4" applyFont="1"/>
    <xf numFmtId="0" fontId="2" fillId="0" borderId="0" xfId="4" applyFont="1"/>
    <xf numFmtId="0" fontId="3" fillId="0" borderId="1" xfId="4" applyFont="1" applyBorder="1"/>
    <xf numFmtId="0" fontId="3" fillId="0" borderId="1" xfId="4" quotePrefix="1" applyFont="1" applyBorder="1" applyAlignment="1">
      <alignment horizontal="left"/>
    </xf>
    <xf numFmtId="0" fontId="3" fillId="0" borderId="3" xfId="2" applyFont="1" applyBorder="1"/>
    <xf numFmtId="0" fontId="5" fillId="0" borderId="6" xfId="0" applyFont="1" applyBorder="1"/>
    <xf numFmtId="0" fontId="5" fillId="0" borderId="0" xfId="0" applyFont="1"/>
    <xf numFmtId="0" fontId="3" fillId="0" borderId="0" xfId="2" applyFont="1"/>
    <xf numFmtId="0" fontId="1" fillId="0" borderId="3" xfId="2" applyFont="1" applyBorder="1"/>
    <xf numFmtId="0" fontId="5" fillId="0" borderId="1" xfId="0" applyFont="1" applyBorder="1" applyAlignment="1">
      <alignment horizontal="center" vertical="center" wrapText="1"/>
    </xf>
    <xf numFmtId="0" fontId="5" fillId="0" borderId="1" xfId="0" applyFont="1" applyBorder="1" applyAlignment="1">
      <alignment horizontal="center" wrapText="1"/>
    </xf>
    <xf numFmtId="0" fontId="1" fillId="0" borderId="1" xfId="0" applyFont="1" applyBorder="1"/>
    <xf numFmtId="0" fontId="1" fillId="2" borderId="1" xfId="0" applyFont="1" applyFill="1" applyBorder="1" applyAlignment="1">
      <alignment vertical="center"/>
    </xf>
    <xf numFmtId="0" fontId="2" fillId="0" borderId="0" xfId="0" applyFont="1"/>
    <xf numFmtId="0" fontId="1" fillId="2" borderId="1" xfId="0" applyFont="1" applyFill="1" applyBorder="1" applyAlignment="1">
      <alignment wrapText="1"/>
    </xf>
    <xf numFmtId="0" fontId="0" fillId="0" borderId="0" xfId="0" applyAlignment="1">
      <alignment wrapText="1"/>
    </xf>
    <xf numFmtId="0" fontId="3" fillId="0" borderId="18" xfId="1" applyFont="1" applyBorder="1" applyAlignment="1">
      <alignment horizontal="left"/>
    </xf>
    <xf numFmtId="0" fontId="8" fillId="0" borderId="4" xfId="0" applyFont="1" applyBorder="1"/>
    <xf numFmtId="0" fontId="8" fillId="0" borderId="17" xfId="0" applyFont="1" applyBorder="1" applyAlignment="1">
      <alignment horizontal="left" wrapText="1"/>
    </xf>
    <xf numFmtId="0" fontId="2" fillId="0" borderId="2" xfId="0" applyFont="1" applyBorder="1"/>
    <xf numFmtId="0" fontId="1" fillId="0" borderId="0" xfId="0" applyFont="1" applyAlignment="1">
      <alignment horizontal="left"/>
    </xf>
    <xf numFmtId="0" fontId="1" fillId="0" borderId="1" xfId="0" applyFont="1" applyBorder="1" applyAlignment="1">
      <alignment horizontal="left"/>
    </xf>
    <xf numFmtId="0" fontId="1" fillId="0" borderId="11" xfId="0" applyFont="1" applyBorder="1"/>
    <xf numFmtId="0" fontId="16" fillId="0" borderId="0" xfId="0" applyFont="1"/>
    <xf numFmtId="0" fontId="0" fillId="0" borderId="1" xfId="0" applyBorder="1"/>
    <xf numFmtId="0" fontId="15" fillId="3" borderId="1" xfId="0" applyFont="1" applyFill="1" applyBorder="1" applyAlignment="1">
      <alignment horizontal="center"/>
    </xf>
    <xf numFmtId="0" fontId="0" fillId="0" borderId="1" xfId="0" applyBorder="1" applyAlignment="1">
      <alignment horizontal="center"/>
    </xf>
    <xf numFmtId="0" fontId="0" fillId="0" borderId="0" xfId="0" applyAlignment="1">
      <alignment vertical="center" wrapText="1"/>
    </xf>
    <xf numFmtId="0" fontId="15"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14" fillId="0" borderId="0" xfId="0" applyFont="1" applyAlignment="1">
      <alignment vertical="center"/>
    </xf>
  </cellXfs>
  <cellStyles count="5">
    <cellStyle name="Hyperlink 2" xfId="3" xr:uid="{1A2FE766-6BDD-4159-8757-B6AD6F2F9C86}"/>
    <cellStyle name="Normal" xfId="0" builtinId="0"/>
    <cellStyle name="Normal 2" xfId="1" xr:uid="{E999A2B2-A5E7-41E4-9622-9CF7AEBBC60E}"/>
    <cellStyle name="Normal 2 2" xfId="2" xr:uid="{B6E824AC-F57E-4FD5-AD60-C5B9328873DF}"/>
    <cellStyle name="Normal 3" xfId="4" xr:uid="{DF8FA961-3C0C-47F1-B304-B536E026B94A}"/>
  </cellStyles>
  <dxfs count="0"/>
  <tableStyles count="0" defaultTableStyle="TableStyleMedium2" defaultPivotStyle="PivotStyleLight16"/>
  <colors>
    <mruColors>
      <color rgb="FFF3C1FF"/>
      <color rgb="FFFF7C80"/>
      <color rgb="FFD5FFFF"/>
      <color rgb="FFFFFFC1"/>
      <color rgb="FFFFE9A3"/>
      <color rgb="FFFFD1D1"/>
      <color rgb="FFE3F3D1"/>
      <color rgb="FFFFB9BB"/>
      <color rgb="FFFFE7E7"/>
      <color rgb="FFE98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7327</xdr:rowOff>
    </xdr:from>
    <xdr:to>
      <xdr:col>5</xdr:col>
      <xdr:colOff>8563</xdr:colOff>
      <xdr:row>27</xdr:row>
      <xdr:rowOff>58616</xdr:rowOff>
    </xdr:to>
    <xdr:pic>
      <xdr:nvPicPr>
        <xdr:cNvPr id="2" name="Picture 1">
          <a:extLst>
            <a:ext uri="{FF2B5EF4-FFF2-40B4-BE49-F238E27FC236}">
              <a16:creationId xmlns:a16="http://schemas.microsoft.com/office/drawing/2014/main" id="{652D1B04-9924-4132-876E-02EC53FFA82E}"/>
            </a:ext>
          </a:extLst>
        </xdr:cNvPr>
        <xdr:cNvPicPr>
          <a:picLocks noChangeAspect="1"/>
        </xdr:cNvPicPr>
      </xdr:nvPicPr>
      <xdr:blipFill>
        <a:blip xmlns:r="http://schemas.openxmlformats.org/officeDocument/2006/relationships" r:embed="rId1"/>
        <a:stretch>
          <a:fillRect/>
        </a:stretch>
      </xdr:blipFill>
      <xdr:spPr>
        <a:xfrm>
          <a:off x="0" y="4835769"/>
          <a:ext cx="10251601" cy="11942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304800</xdr:colOff>
      <xdr:row>4</xdr:row>
      <xdr:rowOff>78275</xdr:rowOff>
    </xdr:to>
    <xdr:sp macro="" textlink="">
      <xdr:nvSpPr>
        <xdr:cNvPr id="2" name="AutoShape 1" descr="data:image/jpeg;base64,/9j/4AAQSkZJRgABAQEAYABgAAD/2wBDAAgGBgcGBQgHBwcJCQgKDBQNDAsLDBkSEw8UHRofHh0aHBwgJC4nICIsIxwcKDcpLDAxNDQ0Hyc5PTgyPC4zNDL/2wBDAQkJCQwLDBgNDRgyIRwhMjIyMjIyMjIyMjIyMjIyMjIyMjIyMjIyMjIyMjIyMjIyMjIyMjIyMjIyMjIyMjIyMjL/wAARCAIjAx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q7vrSxMa3DOC4yuFJzjGegPqKr/23pv9+X/v0/8A8TVPxD/x9Wn/AFzf/wBkrnrPU7PUJ7uG1m8yS0l8mcbSNj4zjkc8HtQB1v8Abem/35f+/T//ABNH9t6b/fl/79P/APE1ztFAHRf23pv9+X/v0/8A8TR/bem/35f+/T//ABNc7RQB0X9t6b/fl/79P/8AE0f23pv9+X/v0/8A8TXO0UAdF/bem/35f+/T/wDxNH9t6b/fl/79P/8AE1ztFAHRf23pv9+X/v0//wATR/bem/35f+/T/wDxNc7RQB0X9t6b/fl/79P/APE0f23pv9+X/v0//wATXO1TfVbJNXj0ppsXskRmSLY3KA4JzjHX3oA67+29N/vy/wDfp/8A4mj+29N/vy/9+n/+JrnaKAOi/tvTf78v/fp//iaP7b03+/L/AN+n/wDia52uQPxQ8Ghtp1jkHH/HtN/8RR1sB6j/AG3pv9+X/v0//wATR/bem/35f+/T/wDxNcjqeqWWj6bLqF/N5NrEAXk2lsZIA4AJ6kVj6X4+8M61qMWn6fqfnXUudieRIucAk8lQOgNC1Dpc9G/tvTf78v8A36f/AOJo/tvTf78v/fp//ia52igDov7b03+/L/36f/4mj+29N/vy/wDfp/8A4muIuPEel211JamaWaaL/WpbW8k/lf7/AJanb+OKu2V9a6laJdWVxHcQP92SNsg0AdV/bem/35f+/T//ABNH9t6b/fl/79P/APE1ztV76/tdNtHur24jggT7zucD2H19qAOq/tvTf78v/fp//iaP7b03+/L/AN+n/wDia4aLxNpUtzDbtNPbyTHbELq1lgEh9FMigMfYVr0AdF/bem/35f8Av0//AMTR/bem/wB+X/v0/wD8TXO0UAdF/bem/wB+X/v0/wD8TR/bem/35f8Av0//AMTXO0UAdF/bem/35f8Av0//AMTR/bem/wB+X/v0/wD8TXO0UAdF/bem/wB+X/v0/wD8TR/bem/35f8Av0//AMTXO0UAdF/bem/35f8Av0//AMTR/bem/wB+X/v0/wD8TXO0UAdF/bem/wB+X/v0/wD8TR/bem/35f8Av0//AMTXO0UAdF/bem/35f8Av0//AMTR/bem/wB+X/v0/wD8TXO1h634w0Hw5cx2+rX/ANnlkTei+S75GcZ+VTQB339t6b/fl/79P/8AE0f23pv9+X/v0/8A8TXB6J4t0LxHJJHpWox3EkY3NHtZGx64YAke4qHV/HHhvQ7w2mo6rHFcD70ao8hX67QcfjRsG56F/bem/wB+X/v0/wD8TR/bem/35f8Av0//AMTXGjXNMfRX1hLyOTT0jMjTx5YBR14HPHp1rCh+Jvg6eZIk1pAznALwSov4kqAPxo62DzPT/wC29N/vy/8Afp//AImj+29N/vy/9+n/APia4XW/FWi+HUt31W9EC3OfKIjdw2MZ+6D6ishfih4Odgq6xkk4A+zTf/EULUPM9R/tvTf78v8A36f/AOJo/tvTf78v/fp//ia4HW/GOg+HbiO31W/+zyypvRfJd8rnGflU1BpXjzw1reoR2Gnal511ICVTyJFzgZPLKB0FC12B6Hov9t6b/fl/79P/APE0f23pv9+X/v0//wATXnur+OPDeh3htNR1WOK4H3o1R5Cv12g4/GtS21WwvNM/tK2uo5rPYX82M7hgdenpjp1o6XC2tjrv7b03+/L/AN+n/wDiaP7b03+/L/36f/4muVsb621KxhvbSTzLedA8b7SNwPfB5qPU9Us9G06XUNQm8m1hxvfaWxkgDgAnqRQ9NwWux139t6b/AH5f+/T/APxNH9t6b/fl/wC/T/8AxNec6X4+8M61qMWn6fqfnXUudieRIucAk8lQOgNaGteI9H8PRJJqt9HbB/uAgszfRQCT+VD03Banbf23pv8Afl/79P8A/E0f23pv9+X/AL9P/wDE1xGi+JNH8RRPJpN9HciM4cAFWX0yrAEflWrRawHRf23pv9+X/v0//wATR/bem/35f+/T/wDxNczcTxWttLcTNtiiQu7YJwAMk8Vyf/C0vBn/AEGf/JWb/wCIoA9S/tvTf78v/fp//iaP7b03+/L/AN+n/wDia4c+JtHHh7+3zef8SzGfP8p+m7b93G7rx0qjpfj7wzrWoxafp+p+ddS52J5Ei5wCTyVA6A0W1sHS56N/bem/35f+/T//ABNH9t6b/fl/79P/APE1xUviHSodei0OS7C6jKnmRwlG+Zef4sY7HjParD6nZx6rFpjzYvJYjMke08oDgnOMfrQB1v8Abem/35f+/T//ABNH9t6b/fl/79P/APE1xOteItJ8PRwyareLbLO+yMlWbcf+Ag8e/Srl5fW1hYTX1zKEtoYzI8gBbCgZJwOT+FHS4HVf23pv9+X/AL9P/wDE0f23pv8Afl/79P8A/E1x1lrWn6jpA1W0uRLYlWfzQpHC5zwRnjB4xTf7d0saKmsNeRpp7oJFnkyoIPTg8/h1oem4LXY7P+29N/vy/wDfp/8A4mj+29N/vy/9+n/+Jrz7SPG3hvXbv7Lp2qxS3B+7GytGzfQMBn8Kn13xRo3hoQHV7z7MJ93l/unfdjGfug46igNzuv7b03+/L/36f/4mj+29N/vy/wDfp/8A4muF0LxToviXz/7IvPtPkbfM/dOm3OcfeAz0NSa14i0nw9HDJqt4tss77IyVZtx/4CDx79KAO2/tvTf78v8A36f/AOJo/tvTf78v/fp//ia5mWeOG3e4kcCJELsw5+UDOeKjsb621KxhvbSTzLedA8b7SNwPfB5oA6r+29N/vy/9+n/+Jo/tvTf78v8A36f/AOJrnaKAOi/tvTf78v8A36f/AOJo/tvTf78v/fp//ia4fWvEujeHUjfVr+O28z7ikFmb3CqCce+KXRfEujeIo3fSb+O58v76gFWX6qwBx74oWobHb/23pv8Afl/79P8A/E0f23pv9+X/AL9P/wDE15rffEXwppt9NZXeq+XcQOUkT7PKdpHUZC4q9Y+LdD1LR7rVrS+8yxtM+dL5TjbgZPBGTwewo6XDrY7z+29N/vy/9+n/APiaP7b03+/L/wB+n/8Aia8wh+Jvg6eZIk1pAznALwSov4kqAPxrfuNXsLS7srWe4CS3xIt/lJWQgZxuAwOPU89qAOw/tvTf78v/AH6f/wCJo/tvTf78v/fp/wD4muR1TVbLRrFr3UJvJt1YKW2ljknAACgk8+gqnrfinRvDi27ateG2FxnysxO27GM/dBx1HWgDuv7b03+/L/36f/4mj+29N/vy/wDfp/8A4muF0LxToviXz/7IvPtPkbfM/dOm3OcfeAz0NV9W8b+G9DvfseoarFFcDrGqM5X67QcfjQ9APQv7b03+/L/36f8A+Jo/tvTf78v/AH6f/wCJrlbK/tNSs0u7K4juLdxlZI23A1zB+KHg0NtOscg4/wCPab/4ijrYOlz1H+29N/vy/wDfp/8A4mj+29N/vy/9+n/+JritY8QaXoFvDcapdC3imcRoxRmy2M9gccDvU9/qtlpdvHPeTiOKWRYkYKWyzHCjgHr60Add/bem/wB+X/v0/wD8TR/bem/35f8Av0//AMTXFaz4h0nw/As2q30Vsr/cDZLNjrhRkn8BUWi+KtD8RF10rUYrh0GWTBRwPXawBx74o3B6Hdf23pv9+X/v0/8A8TR/bem/35f+/T//ABNc7SEhVJJAAGST2oA6P+29N/vy/wDfp/8A4mj+29N/vy/9+n/+JrzYfEPwkb77H/bdv5u7bkhgmf8Afxt/Wt691Cz06ye9vLmKC2QZaV2wPajpcOtjq/7b03+/L/36f/4mj+29N/vy/wDfp/8A4mvPdJ8ceG9cvRZ6fqsctwfuxsjxlvpuAz+FdBRYDov7b03+/L/36f8A+Jo/tvTf78v/AH6f/wCJrnaKANbxD/x9Wn/XN/8A2SvO/B3/ACG/Fn/YTP8A6AteieIf+Pq0/wCub/8AslcFf/Dzwrql/NfXml+bcztvkf7RKu4/QNil1v8A10Dp/XmafiW7urDwzqV3ZLuuYbZ3j4zggdce3WuHi0We48HxXiWGjW1xJbLMNZl1N1nViAfMZ/Jz16jdjt0rttD8M6P4cinj0mz+zpOQZB5jvux0+8T61EnhHQ0GxbNvI37/ALN58nkbs5z5W7Z15+7TtqF9DL8Rzj/hHNIsdQlmuLu+lhhxZTiNbh8ZOXI4jOOcDOCKyJLSXRvHXhtIdP0vSluTNHLDp8hJlUJkb/kQEA47HnvXdalpVjq9ssF9biVEcSIdxVkYdGVgQVPuCKoN4R0V54bh7aWS5hcPHcvdStMpHbzC27HtnHtTT1v5itpbyMrxVY3N7rtg0C2OpJDC7SaNc3Aj83JwJACCGx0+YYFR+F5LO18S3dgum32j3ktss7acXja12g43x7MgHPB6fSuk1HRNP1WWGa6gYzw58qaKV4pEz1AdCGA9s0thothps0k9tE5nlAV5ppXlkYDoC7ktj2zSjoN6nDaLb3niC71m7vtF0vUpo7+SAfb7plMCrgKqJ5ThRjnIOSTmtXTIby28B6zBd31tdrGtysLW9yZxHHtOIy5AJKnI59q3rrw3pd3eyXjwyx3EqhZZLe4khMgHTfsYbvxzTrzTI4vDV3punW0cam2kjhhjAUZKnA9OSamXwNeRS+NPzOO8N+HtEuvhraXl1FG8wtGk+2sf3sJGT8r9VC46AgcU99UbUfh/4ej1Q3kl5qckUQjglERnPP32I4QgAnHPNaWgeC7GPwxp9pqdlIsywr9ot1uXETOOpZFbYx9SQc10N/o+n6nZx2t3bK8MbK0YUlDGy9CpXBUj1BFaS+J+qIjsvQ4eS0l0bx14bSHT9L0pbkzRyw6fISZVCZG/5EBAOOx571J4kl1SL4m6f/Y9tDNevpcip577Y0+f7zY5IHoK6dvCOivPDcPbSyXMLh47l7qVplI7eYW3Y9s49qvvpVk+rx6q0Ob2OIwpLvbhCckYzjr7VPb5/kPv8vzOb8CRWs9tcX1yJZNfVzDqL3JBkRx/CMcKncAcYrsKox6RYw6xNq0cGy9njEUsiuwDqOmVzgkeuM1ept3AK5Bv+SvJ/wBgM/8Ao6uvrkD8L/BpbcdH5Jz/AMfM3/xdJfEn/XYOjR19ch4E/wBZ4m/7Dlx/7LXR6npdlrGmy6ffw+daygB49xXOCCOQQeoFY+l+AfDOi6jFqGn6Z5N1FnY/nyNjIIPBYjoTQt/68v8AIHsdJRRRQBx1jf6d4fkvNK0O3vtZv3uJJp1jC4WRuSJJSFRfTqSPStHwlo13pFhdvftH9rvruS7ljiJKRF8fKpPXGOtOtvB+j2cZjtRqEEbMXKRancoCx6nAk6mtSysIdPiaOF7l1ZtxM9zJMfwLsSB7ULRA9Q/tKxGoDT/ttt9tK7hb+avmY6525ziqOunRWuNKi1c/O12rWYO/BnAO37vGeuN3FSnw9pR8QDXTa/8AEyCeWJvMb7uMY2529ParOoadZ6raNaX9vHcQMclHHfsR6H3FHYDjvG1tPpzadrE1/NfRW+oRslhcKgUszYGzYqksueN26rOupbat4vh05bL+0bi1tPPa1u5xHaKGbAZhsYs/pxgCty38N6Xb3UVz5U080P8AqmurmWfyz6r5jNtPuKkvtB07UbxLyeKRbpEMazwTyQybeu0sjAkexoWn9eQP+vvOY8HCW08Y+JNO2WtvbxCB1tbRiYomZTnAwME8ZwB9K6u+v7m0kVYdJvb1SMl4HhAX2O+RT+QqCx8N6Tpt+19ZWnkXDJsd0kceYPVxnDH3OT71q0dEHVjYnaSJHaNo2ZQSj4yvscEjP0Jp1FFABRRRQAUUUUAFFFFABRRRQAVwPiH+2f8AhZdl/YX2D7X/AGW+ft2/y9vmc/c5z0rvqqNplm2rJqhhzepCYFl3HhCckYzjr3xR1T/rYOjX9bnOaV4f1ubxLFr3iC404XFvA0MMOno4UhupZm5P0qr8NPsf9iXm/wAv+1vtc39obseZu3nG7vjHTPvXcVz+r+B/Deu3hu9R0qOW4P3pFd4y312kZ/Gj+v1DocVH5H9j/ET+zNn9kYPkeV/q/M8v95txxjOOlGp/8Jp/wr4m5TQX0oWKFxCJPP8AK2jkbvl3Y/XpXoo0PTE0V9HSzjj094zG0EeVBU9eRzz69amfTrSTSzpjw5s2h8gx7j9zG3Gc56d85pNaNLsvwGn7yfr+hHoyQR6Hp6Wu82620Yi8w5bbtGM++K57wJ/rPE3/AGHLj/2WuptLWGxs4bS3UrDCgjjUsWwoGAMnk/jUNhpdnphujZw+Wbqdrib5id0jdTyeOnQcVbfvN/1uiUrRS/rZnFeJLTUb34nadFpmqf2bcf2Y58/7Os3G/kbW459a6jQ9N1uwac6tr/8AaocDyx9jSDyzzn7p5zx+VXX0qyfV49VaHN7HEYUl3twhOSMZx19quVK0Vv63G9WcP8NPsf8AYl5v8v8Atb7XN/aG7Hmbt5xu74x0z71T8PeRv8cf2Zs/sjcfI8r/AFfmeUfM244xnHSuk1fwP4b128N3qOlRy3B+9IrvGW+u0jP41qW2lWFnpn9m21rHDZ7CnlRjaMHr09c9etJq8WvKw7+9fzuZfgb/AJEbRf8Ar1T+VdBXH/8ACrfBn/QG/wDJqb/4utpvDWkN4eGgtaZ0wKF8jzH6Bt33s7uvvVSd22TFWsjG8Cf6zxN/2HLj/wBlqtZ/Zf8AhbWqf2h5f2r7JD/Z/m4+5g79me+c9Pf3rU0vwD4Z0XUYtQ0/TPJuos7H8+RsZBB4LEdCa0Na8OaP4iiSPVbGO5CfcJJVl+jAgj86W1rdP8rDet/P/O5zd99n/wCFtaT/AGd5f2r7LN/aPl9fLwNm/Hfdjr7e1dxWVovhvR/DsTx6TYx2wkOXIJZm9MsxJP51q0dEg63M7X/+Rc1T/r0l/wDQDXEeFND8VT+FNLmtPGP2W3e3Uxwf2ZE/lj03E5P1r0S4giuraW3mXdFKhR1yRkEYI4qOxsbbTbGGytI/Lt4ECRpuJ2gdsnmhaNv0/UH0/rsTqCEUM25gOTjGa5HwJ/rPE3/YcuP/AGWuj1PTLPWdOl0/UIfOtZsb03Fc4II5BB6gVj6X4B8M6LqMWoafpnk3UWdj+fI2Mgg8FiOhNC3bf9bB9mxz+s6Mut/ETULdX8q6j0mKW1nHWKVZSVYfj19iaNJ1k618QdKlmQQ3sOnTw3cGf9VKrgMPp3HsRXcLpdmmrSaqsOL2SEQNLuPKA5AxnHXvjNVz4c0k61LrAtAuoSxGF5kkZSykY6A4zgDnrx1oWlvn+v8AmD1v8v0/yPPb7WbXWvFmqXN1oes6rpsELafamws/NQE/61t2R83YY7VZsNZk1D4Va5p12k0V9plo9vJHcR7JNm0+WzL2JX9Qa9D03TbPSNPisbCAQ20QIRAScZOTyeTye9Vbrw5pN7dXdzPabpby3+zXDCRl8yP0IBAz79fek17rj5f1+v3jvrc4mPHhbSo3GE0jWdPAbniC68rg+wcf+PD3qiTbDQfh7/ae3+yc/v8AzPub9n7vdnjGc9fevSrrRtPvdHOk3NssliY1j8pifujGOc54wOc5pn9haWdFTR2s4309EEawSZYADpyefx61Terfmvwv/mSlok+z/EzPFU3h+CPTZNXtxPMLlPsKQn975mRjZgg46Z5x09qveKP+RS1n/rxm/wDQDVXSfBHhvQ7wXenaVFFcD7sjO0hX6bicfhVjXfC+jeJRANXs/tIg3eX+9dNucZ+6RnoKmSvGxUXaVxPCX/Im6L/14w/+gCuCvtZtda8Wapc3Wh6zqumwQtp9qbCz81AT/rW3ZHzdhjtXeaN4S0Tw/HcppVmbZbpQsuJpGLAZxyWJHU9MVoabptnpGnxWNhAIbaIEIgJOMnJ5PJ5PeqlaUm/61JjorHGeFNZk1DwLqOnXaTRX2mQPbyR3EeyTZsPlsy9iV/UGt3wN/wAiNov/AF6p/KtB9D06TUbi/a2/0m5g+zzOHYb4/QgHGffGfeuf/wCFW+DP+gN/5NTf/F0ru7b62/Udv1/Q7CiqunadaaTp8NhYxeVbQjEabi2BnPUknvVqgDjdRtoZ/HZudK1O1j16CzEb2l7AzI0ZOQykEEHrkqT7imWF0sPj6GDVNKso9ZntG23djcswZAQSHQgY6cE56YBrf1rwxoviJUGq6fHcmPhXJKsB6blIOPbNN0Xwrofh3edK06K3dxhnyWcj03MSce2aI6fiD12ON0XS9fvta8SyaV4k/suFdUkDRfYY59zYHzZY8duPat3XrTULL4c61Dqep/2jci1lJn8hYcjHA2rxxUt98OvCmpX017d6V5lxO5eR/tEo3E9TgNirlj4Q0LTdJu9LtLHy7K8yJ4/Oc78jB5LZHHoaVvc5fKw7+9fzOG1P/hNP+FfE3KaC+lCxQuIRJ5/lbRyN3y7sfr0rptb0db/wDaf2UJPtFjDDdaez8vuRQVB9yMj8a6V9OtJNLOmPDmzaHyDHuP3MbcZznp3zmpLS1hsbOG0t1KwwoI41LFsKBgDJ5P41Une9iYqyV/62OIGpR+Ntf0CGA5sraBdTul9JOkaH3DZOPaun8Uf8ilrP/XjN/wCgGpNJ8P6VoTXJ0yzS3N1J5k21idzfiTgcngcVDrvhfRvEogGr2f2kQbvL/eum3OM/dIz0FTJXjZf1/WxUXaV2J4S/5E3Rf+vGH/0AVgfDQ2f9i3m/y/7WF3N/aG7Hmbt5xnvjHTPvXQaF4W0Xw15/9kWf2bz9vmfvXfdjOPvE46mq+reCPDeuXv2zUNKiluD1kV2Qt9dpGfxqpO8m+5KVo2G+FZtBd9Vj0C3McKXR850P7qSUgZ2ckcDHQAdKpN/yV5P+wGf/AEdXTWNhaaZZR2djbx29vGMLHGuAP/r+9cyfhf4NLbjo/JOf+Pmb/wCLoWjXl/lYfR/11uR+PbeG7uvDNvcRrJDLqqI6MMhgUYEVzuuTyaXp9v4XvJC0lpqVtJZSOcma2Mny/in3T9BXpN5pVlqElo91D5jWcwmgO4jY4GAeDz171Dqvh/S9bltZdRtFmktJPMgbcylG47gj0HB44pLT77/l/kD1+7/P/M5m2+z/APC2tR/tHy/tP2OL+zfM/uc79ue+7PTnGfeqcGsaxB8RNL07WLfw3Lc3CSDzrKN2nhQISAWY/Ln07812Os+HtJ8QQLDqtjFcqn3C2Qy564YYI/A1Bp3hLQdJFv8AYNOjgNvIZY2VmLbipUkknLcMRznrRHS1wet/M2q5r4g/aP8AhA9X+zbvM8nnb12ZG7/x3NdLSEBlIIBBGCD3pNXVhxdnc52I+Gv+EGViLU6F9myQcbSMd/8Aaz+OfeuY1iXSpofA8jwPB4dMzYjuui/J+637iRj6npXR/wDCu/CX277Z/YkHm7t2NzbM/wC5nbj2xW9e6fZ6jZPZXltFPbOMNE65HtVN683mSlZW8jkPiX9l/sG08ry/7W+1Q/2btx5m/ePu98Y69untXZz3MNpbNcXU0cMSDLySMFVfqTwKxNJ8D+G9DvReafpUcVwPuyM7yFfpuJx+Fa+oafa6rYTWN7F5ttMu2RNxXI+oINLZWQ+upJbXNveW6XFrPHPA4ykkThlb6EcGpaq6dp1ppOnw2FjF5VtCMRpuLYGc9SSe9WqH5Ar9TW8Q/wDH1af9c3/9krJrW8Q/8fVp/wBc3/8AZKyaACiiigAooooAKKKKACiiigAooooAKKKKACiiigAooooAKKKKACiiigAooooAKKKKACiiigAooooAKKKKACiiigAooooAKKKKACiiigAooooAKKKKACiiigAooooAKKKKACiiigAooooAKKKKACuJh8ReKPEE9xN4bstMj02CVoln1F33TlTglQnQfX/61dtXnui3+qeCLeXQ7zw/qd/bRTO1nc6dD5oZGYthhkbSCe//ANcrqPobJ8S6mnhDVdSutJax1HT0kzDOC0bsoyGVhjcp9v8A69OTxtox0BbttZ0oXptfMMP2pP8AWbc7du7PXjHWqFyPEWqeB/EE2p2rRzXcMn2PT41DyRJt4B2jJY+n/wCqrEfhPRv+EQTd4fsPtv2AZzZJ5nmeX9M7s/jmiV7P0X6hG118/wBDT0fXftPg6113UTHCGtftExQEKvGTjJJ/Wsjwp4s1PVdT+yaxZQ2n2u2+2af5eQXi3EENkn5gNp47GsabTdX1PwT4d8LQW9xam5hU3txLbttgROdrA4+YnHy+1Saz4Y8WWcdrrCa+NWuNKfzYLRNOSFnXgOoKnPK5GMc1TtzPsSruK7mlrXjK80bxomnyW0LaPHbxy3U4U+ZFvYqG642g7c8d62J9auIvGtloypEbaezkuGcg7wysAMHOMc+lZVvZNqfju8ubiwuBp95oscbedCygkuSUOejYPI6isvQ9N1iy8f2tpeW1xJZ6fZSwQXxUlZIywKAtjG4Dgj2pK+i9f1/4AN7teX6f8E0o/EPibxBPcv4ZstMj0+3maFbnUXf9+y8EoqdBnuev6DVt9U1qLQdRuNV02G1vLSN2QxyiSKbCkhhzuAyOhwa5KOCbQNGu/C2s+GtT1bSmmZrabT1Mm+MvvAfDAoQf89y3wz4eu9Lh8WKujSWEN5Zo1rbBmlI+WQbdxzluhIBONwqX8Lt2/ErTm+f4CWXjbxJeWUNz/bPgWDzUD+VPdSLImezDdwa9G097iTT7d7trdrho1MjWxJjLY5K55x6V5lotzo1nollbX3w41We7ihVJpf7DRt7AcnJ5P416Zp1wt1ptvOlrNao8YKwTR7HjH90r2I9K0dtbEroWq5LXtZ8RJ4qttF0FNL3SWhuWa+EmOG24BQ/TtXW1w3iDwxbeIviBZjU9PluNOTTmy43qgk38DcpHOCeM1HVf10ZXR/11LWleINdg8UR6D4hg00zXEDTwzae77VC9QyvyPrVeLxD4p8QzXM3hqy0uPTYZWiWfUWfM7KcEqE6DPr/+re0Xwpofh0yNpWnR27yDDPuZ2I9NzEnHtXLaPqGp+B7aXRLvw/ql/bRSu1pc6dD5wdGYthhkbSM9/wD9b6iV7GjF4xupPC+t3M1klrrGkI4ntnO9NwXKkEEZU/X/ABqhLrvjqx0Ma5dQ+HJLFYRcPHG8ySFCM4BbgHH1/Goho+q3Hhrxdq95YvDf6xCfKsk+d0RUKoDjqxz0/wD1VBd/DXRE8Fm7s9Kmj1lLITIVllL+cFBxtJIzntih3V2+y/W41ul6/odZe3niHUNM0698OJpiC4iEsq6kJMqGAKgbO/Jzn2rn9H1rx7rMl6IU8NqtldvaS7xOCWXGSuCeOeM4rtNJmmuNHsprlHSd4EaVZEKMG2jIIPQ57VheC7S5tZPERuLeWHzdYnkj8xCu9Dtwwz1B9aq1pNf1uiVrBP8ArqUfFfirVtJ8SWmlWE+iWyTWpnabVXZEBDYwGBH5Yqfw5q/iLVNSxcaj4Vu7KMZmGmTySSrkHb1OBz6+9M1bRU1P4lWEl5pi3dgunOrNNB5kQffwCSMZrprHSNM0wyHT9OtLQyABzbwLHux0zgDNTHa/r+bHLey8vyOVi8Q+KfEM1zN4astLj02GVoln1FnzOynBKhOgz6//AKtHR/FE+oaRqhurMWmraYGW4ty25QwXcrAjqp/z61h6PqGp+B7aXRLvw/ql/bRSu1pc6dD5wdGYthhkbSM9/wD9dzRdL1J7LxJrWoWjW15qyHy7MHc0aKhVAcfxHPT/APVSfwO3b8SvtfP8DovDepTax4b0/UbhY1muYFkdYwQoJ9Mk/wA6san/AGj/AGdL/ZP2X7dx5X2vd5fUZ3beemeneuH8N+LZtH8N6fp1x4U8TtNbQLG7R6cSpI9Mkfyrrm1zb4eGr/2VqZ+UH7GLf/SfvYxsz179elVK13bYiN9L7nP+Fda8W6zqdyL5NEWxsruS0ufIEokLqOqZJGMkdccZq5rHiHV5NfOg+HLO1mvIohNc3F4xEMKn7owvJJ9v8cZHgbVbmLVNTtLjQNbtv7R1Ga6jmnsykcaMAQHYng/LjvyRVvUP7S8MeML3WoNKutS07Uoo1nWzXfNFIgwDs/iBHp/+tdr/ANaf5ldXb+tf8i5o/iHV49fXQvElpaw3k0RltbizZjDMB95QG5BHv/hnqq4iwGoeKPGFlrU+lXWmadpkUiwLeLsmmkcYOU7AD/Pp29Pori6hRRRSAKKKKACiiigAooooAKKKKACiiigAooooA1vEP/H1af8AXN//AGSsmtbxD/x9Wn/XN/8A2SsmgAooooAKKKKACiiigAooooAKKKKACiiigAooooAKKKKACiiigAooooAKKKKACiiigAooooAKKKKACiiigAooooAKKKKACiiigAooooAKKKKACiiigAooooAKKKKACiiigAooooAKKKKACiiigAooooAKKKKACiiigAooooAKKKKACiiigAooooAKKKKACiiigAooooAKKKKACiiigAooooAKKKKACiiigAooooAKKKKACiiigAooooAKKKKACiiigAooooA1vEP/AB9Wn/XN/wD2SsmtbxD/AMfVp/1zf/2SuL8S+LtO8LLbm9S4lacttS3QMyqoyzkEj5R60Ab1FQPeW0dib55kFqI/NMpPy7MZzn0xXJn4laWE+0HStbGnk/8AIQNifI2/3t2c4/CjrYOlzs6KydT8SaXpOjx6pcXG62m2+R5Q3tMWGVCgdSay7Lx7p9xqMFjeadq2ly3LbIG1C0MSyt6A5PP1o62Dpc6qiud1zxfb6HqkOnHTNUvrmWHzgljbiUhc45G4Hr7U/RvFP9s3ptv7B1yxwhfzb6z8qM4xxnJ55oWuwPQ36K5W98eWFtf3Fpaabq2qPbNsnfT7QypG3dScjmtTTPEmlato0mq21yBaxbvOMg2mIqMsGB6EUdLh1sa1FcYfiVpYT7QdK1saeT/yEDYnyNv97dnOPwrV1zxdp2habZ38qT3VveMFhNqqtkFSwPJHGBQBvUVg6/4u03w7plvf3Cz3EVxzGtuoZiu3du5I4xj8xUGreNLXSb22sxpeq309xb/aFSytxKQmccjcDR5AdLRWBo3in+2b0239g65Y4Qv5t9Z+VGcY4zk880aF4v03xBqV/p9qs8dxZOUdZlA34YqWXBORke3UUAb9FYR8UW5g1aSCxv7l9MnEEsMEIeSRuPuAHkc98dDWN/wsq2+2fY/+EZ8S/atnmeT9gG/ZnG7buzjPGaNwO2oqppl9/aWnxXn2S6tfMBPk3UeyRcHHzL2q3QAUVg674t0/QbmG0kjuru+mG6O0sovNlZfXHp/hTtD8V6frtxNaRpdWl9CoeSzvITFKqnvjuPoe49aFqD03Nyis7R9attbguJrZJUW3uZLZxIACWQ4JGCeKitfENjdHVcl4U0yUxXEkoAXhdxIwTxj1xQBrUVxh+JWlhPtB0rWxp5P/ACEDYnyNv97dnOPwrX1XxNFpttZ3MGm6nqkN0pdH02384BcAgnkYBzx+NAG5RXFWvxItrx3W38NeJJfLkMUhSxDCNx1VsNwR3Fa+ueLdP0G4htJI7q7vpxujs7OHzZSvrj0/wNAG9RWFoXizT9euZrSOK7s76AbpLS9h8qUL/exzkf4j1o0TxZYa9qF9Y20dxFNZuyt5ygB8MVJXBOQCO+OooA3aKwdE8W6fr+p31jZxXIez5aSRVCSDcQCpBJIOD1ArIPxIthffYv8AhGvEv2rZ5nk/YRv2ZxuxuzjPehagdrRWbrOr/wBjWKXX9nahfbnCeVYwebIMgnJGRxx+ornZPiNDA0Ym8MeJovNcRp5lgF3MegGW60LV2Dpc7SiqGs6xa6FpE+pXm/yYVBKoAWYk4CgdyScUzQ9ctfEGlrf2iyohZkaOVdrxspwVYZODQBpUVxVz8SbazKC58NeJYvMkEUZksAodz0UZbknsK3tD17+3Fnb+ydV0/wAoji/tvKL5z93k5xj9aOlwehr0VxR+JFsL77F/wjXiX7Vs8zyfsI37M43Y3ZxnvXR61run6BpxvtRm8qLIVVAyzseigdzR0uFtbGlRXK2Pj3TrrUbeyu9P1XS5Lk7bdtQtfKWVvRTk81bu/F+m2Xiq38PXCzpdXCB0lKjyuc4UnOcnae1FgN+is6XWbeLxBb6MySm5ngadWAGwKpwQTnOefSsa98eWFtf3Fpaabq2qPbNsnfT7QypG3dScjmi4HVUVm6Jrth4h08Xunyl49xR1ZSrIw6qwPQ1pUAFFZPiLxDbeGtOS9uoLmdXlWFY7ZAzlmzjAJHpWMvj3cwX/AIRLxUMnGTp3A/8AHqFqD0OvorB1zxbp+g3ENpJHdXd9ON0dnZw+bKV9cen+BpdC8Wafr1zNaRxXdnfQDdJaXsPlShf72Ocj/EetC12B6G7RXGn4iWzT3Edt4e8Q3a28zwvLbWQkTcpwcENXQ6Jrdlr+nC9sXYx7ijq6lXjcdVYdiKFrqGxo0UVk+IfEFv4c0+O8ube5uFkmWFI7ZAzszZxgEjPSgDWorkofiBZG7ghvtH1vTEncRpPf2Rjj3HoM5OM1f13xbp+g3MNpJHdXd9MN0dpZRebKy+uPT/CgDeorC0LxZp+vXM1pHFd2d9AN0lpew+VKF/vY5yP8R61lH4iWzT3Edt4e8Q3a28zwvLbWQkTcpwcENQB2VFYcHiqyvPDsms2Nve3kcbbHtoICZw+QCuzjkZ59qxf+FlW32z7H/wAIz4l+1bPM8n7AN+zON23dnGeM0B5nbUVzt/4vttN8PW+sXWm6nGs8oiW1aACcMSQAULd8evcVSXx7uYL/AMIl4qGTjJ07gf8Aj1HWweZ19FYOueLdP0G4htJI7q7vpxujs7OHzZSvrj0/wNLoXizT9euZrSOK7s76AbpLS9h8qUL/AHsc5H+I9aFrsD0N2is7TdZt9UutQt4ElV7CfyJS4ABbAOVwTxz3xWjR0uAUVxR+JFsL77F/wjXiX7Vs8zyfsI37M43Y3ZxnvXR61run6BpxvtRm8qLIVVAyzseigdzR0uFtbGlRXK2Pj3TrrUbeyu9P1XS5Lk7bdtQtfKWVvRTk811VFgCiiigAoqOaaK3gknmdY4o1Lu7HAUAZJNYP/CWxHTzqSaRqbaYE8z7YI4wvl/39hfzMY5+705oCx0VFZV54i02y0q21FpWkhutv2ZYkLPOWGVVV6kn/APXUI8Sxw3VtBqOnX2nfanEcElyIyjuei5R22k9t2M07O9g8zboqK4uYLS3e4uZo4YUGXkkYKqj3J4FFtc295bpcWs8c8DjKSROGVvoRwaQEtFFVNU1GHSdKutQnV2htomldYwCxAGeMkc0N2Dct0VhWvizTrvwzNryrOltCG3xOoEgYfw4zjJ4xzzkVPofiCz17R/7UgWWC3DOrC4CqV2nBzgkdvWgDWoqjZazpepSNHYalZ3UiDLLBOrkD1IBqa91Cy06ETX13b2sRO0PPIEXPpkmgCxRWPbeJdOvNeXSbVzPI9p9rWeIq0TJu28MDyc+341bvNZ0vTpFjvtSs7WRxlVnnVCfoCaALtFNR1kRXRgyMMhgcgis+TxFocSRPJrOnosozGzXSAPzjjnnmgDSoqCa9tbeOOSe5hijlYJGzyBQ7HoAT1J7VBba1pV7dNbWup2U9wucxRXCs4x14BzQBeooooAKKztH1q21uC4mtklRbe5ktnEgAJZDgkYJ4o03WbfVLrULeBJVewn8iUuAAWwDlcE8c98UAaNFZ/wDbukfbvsX9q2P2stt8j7QnmZ9Nuc5qxdX9nY7Ptd3Bb+ZnZ50gTdgZOM9cDmjzAsUVnx67o8rwJHqti7XHEKrcITL/ALvPP4VYvL6z0+Hzr27gtos43zSBFz9TQBYoqC0vbS/gE9ncw3MJOBJDIHX8xU9AGt4iIFzaEnAEb/8AsleLw32sa14i1TXLLwudY06aNrC1d72OFfKBIfAbk7jnn8K9m8SIsk9sjqGRonDKwyCPk4NY9vbwWlulvbQxwwxjCRxqFVR6ADgUrajvoee+HdTMPhDV9A8QadctNpcRSWzjYSSvbMPlwQQGwOMg9hUa6xY2Ogh9N8cafNYpb4jsNTijkbbt+4QpV/bBBP1r0T7HbfbPtn2eH7Vs8vz9g37M527uuM84qmfD2iG6+1HR9PNxu3eb9mTfn1zjOab1EtDkb7UNIuvB3h261eyuNKjkkSSCazUKllIPusc8BT2yCOefWqup+IRaGyT+39H8TrJdxqlm1ujTZJ+8pjO0MPUqK9HlijniaKaNJI3GGR1BBHuDVOz0PSdOmM1jpdlaykYLwW6IxH1Ap9b+dxW92xw/i6Gyn+Itil9rdxo8P9mMRcwXYt2J8z7u49j6e1bnheHR7W9lSx8X3WszSJ/qbjUkuNoB6hR0+tbt9oulanIsl/plldyKNqtPAshA9ASKbZ6Do+nT+fY6TY2s2NvmQW6I2PTIFKOit6jerOIsr/SIbnUDpXic+Hpmu3a5sNSSIjze7AMQcHrw2PpVjSNZtdS8PeJXvNOgvLWKRknn0uAoL1SvzMATksB1O76GuwvdE0nUpRLfaXZXUgGA89ujkD6kVchhit4VihjSONBhURQAo9gKVtLeVh9bnnC6xY2Ogh9N8cafNYpb4jsNTijkbbt+4QpV/bBBP1qS+uRqGkeBLg2Mdks2oRH7Mi4RBtbgDsD1Hsa7Q+HtEN19qOj6ebjdu837Mm/PrnGc1cntLa5aJp7eKVoX8yIyIGKN/eGeh9xVdbvuibaW8meaeJPDd7pXg/WpLy4hltrW2+zaciEkxwmYMd2R97GxeOy07XobKfxno6X2t3Gjw/2PkXMF2Ldidw+Xcex9PavSrm2t7y3e3uoIp4HGHjlQMrfUHg1VvND0jUGRr3S7K5aNdiGa3Ryq+gyOBUrf+vP/ADKf9fh/kYfheHR7W+lSx8X3WszSJ/qbjUkuNoB6hR0+tc1o+n3DaRf61pqbtT03WbuRFA/10ZYb4vxHT3Ar0Cz0HR9On8+x0mxtZsbfMgt0RsemQKtW9pbWiuttbxQq7mRxGgUMx6scdSfWn5/1uL+vwOO+Ht/Bql14kvrVi0E+oeYhIwcFF6+9WG/5K8n/AGAz/wCjq6e1sLOx8z7HaQW/mvvk8mMJvb1OOp96d9ktvtn2z7PF9q2eX52wb9mc7d3XGecULRry/wArB0fn/ncmooooA4P+0bPQPidqkusSJbR6haw/ZLmY7Y8IMOm48A5wef8ACtW08RaTq/i9bXTLaC/lhtyZtSi2sIFJ4QPjnJ7A+voa37yxs9Qh8m9tILmLOdk0Ydc/Q0WljaafB5FlawW0Wc+XDGEXP0FC8+gPyOJ8I65peitrmm6pf21ldx6nPKUuZBHuRyCpXPXI9Kh0O5s7vRPGGqy2txeaVd3khCQr880YUKxUZHv3HSu2vdG0rUpFkv8ATLO6dRhWngVyB7ZFXI444Y1jiRUjUYVVGAB7ClbT5W/L/IfXTvf+vvPN11ixsdBD6b440+axS3xHYanFHI23b9whSr+2CCfrXZ+F7v7d4X066+wpYiWAMLeNdqoPYdh3H1qU+HtEN19qOj6ebjdu837Mm/PrnGc1pVV9ybHIeBP9Z4m/7Dlx/wCy1TGoWegfE3VJdYlS1j1C1h+x3Mx2phBh03dBzg8+3tXawWltamU29vFD5rmSTy0C73PVjjqT6028sbPUIfJvbSC5iznZNGHXP0NLt5L9LFPW/n/nc4tr+08QfE3SZdGnS5j062mN5cwncm1xhE3DgnPOPr71maLouo6jpt9daNcQW+oQ6tfRGSYkDypOG6A8ghWHutej2dhZ6dD5NjaQWsWc7IIwi5+gp1vaW1orrbW8UKu5kcRoFDMerHHUn1o0/rzdxO+/9bWOM8M2cWn/ABD1yzgGIYLG0jTPoFxUDeIdF/4Wot3/AGxp/wBmGjmIzfaU2b/OztznGcc4ruks7aO6kukt4VuJQFklVAHcDoCepxWb/wAIp4czn/hH9Kz6/Y4/8KE9Vfz/ABv/AJhpZ/L8Lf5Euua9YeHtNN7fzKiE7Y13AGRj0UZOP6DqeKwNM1fQ3vP7W1fxFpEmoMMRRLfRmO0Q/wAKc8t6t1PbA4rqL3TNP1KNI7+xtrqNDlVnhVwp9QCOKo/8In4b/wChf0r/AMAo/wDChbh0scr4tvr/AFbxXY6bpWlNqsWlFby7hFwsSmQ/6sFm44+9jv8AhTfD2palpXja4t9W0Y6Tba2TLBH9pSZftCgbsFem4c4Pce9d9BZ2ttJNJb20MTzNulaNApc+rEdT9aLiztrvyvtNvDN5TiSPzEDbHHRhnoR60R0/r+v6QPU5bx9/q/Dv/Yctv/Zq6+obi0trsRi5t4pvKcSR+YgbY46MM9CPWpqOlv66A9/68zz9vEOi/wDC1Fu/7Y0/7MNHMRm+0ps3+dnbnOM45xVvxxLHYax4a1i7Vm0yzun+0OFJEZZcI5x2Brd/4RTw5nP/AAj+lZ9fscf+FazxpJG0ciK8bDBVhkEemKOi8v8AO43q35/5WOA8da3pWu6LBo+kX1vfand3MX2ZbaQSGMhgS5K/dwM9f8adqGkQ638QtU0+4JAk0aPbIOsbiUlXHuDg12NloulabI0lhplnayMMM0ECoSPcgVYFpbC7a7FvELlk8tpgg3lc527uuM9qNPz/ACsJ/wBffc880XVbjUPiNp9vfrt1Ox0+a3uwBgFwy4cezDDD606yv9IhudQOleJz4ema7drmw1JIiPN7sAxBwevDY+ld/wDYLP7d9u+yQfbNmz7R5Y8zb6buuPaoL3RNJ1KUS32l2V1IBgPPbo5A+pFHb+utw7/10sYXgfVxqo1YiCxPlXe03tlCY47s45bBySw7nJ9q6ymQwxW8KxQxpHGgwqIoAUewFPoEjividF5+gafD5jx+ZqcC74zhlySMg9jWhpng/wDs3UIbz/hI/EN15ZJ8m6vt8bcY+ZdvPWt+5tLa8RUureKdUcOqyoGCsOhGe49amoWn9eg3qcINQs9A+JuqS6xKlrHqFrD9juZjtTCDDpu6DnB59vaka/tPEHxN0mXRp0uY9OtpjeXMJ3JtcYRNw4Jzzj6+9dpeWNnqEPk3tpBcxZzsmjDrn6GizsLPTofJsbSC1iznZBGEXP0FC0t5f1+oPW/meceGNI8RX0Ory6X4n/s23/tS5XyPsEcvzbuTuY55rf8AhyAnh+7jkUfbI7+dLuXJPnShuX56ZGOPauqt7S2tFdba3ihV3MjiNAoZj1Y46k+tFvZ21qZTbW8MJmcySmNAu9j1Y46n3NC0+635A9fv/wAyauN+JKSy6LpscE3kTNqluEl2htjEnDYPXHpXZVDcWtvdqi3NvFMqOJEEiBgrDowz0I9aOq+QHJt4N1fUZIU8QeKZdRso5Fl+zJZRwB2U5G5lySPaqw1Cz0D4m6pLrEqWseoWsP2O5mO1MIMOm7oOcHn29q7uq95Y2eoQ+Te2kFzFnOyaMOufoaOoWWpxbX9p4g+Juky6NOlzHp1tMby5hO5NrjCJuHBOecfX3rM8MaR4ivodXl0vxP8A2bb/ANqXK+R9gjl+bdydzHPNej2dhZ6dD5NjaQWsWc7IIwi5+gp1vaW1orrbW8UKu5kcRoFDMerHHUn1o0/r1uD1/ryOV+HICeH7uORR9sjv50u5ck+dKG5fnpkY49qVv+SvJ/2Az/6OrqbeztrUym2t4YTM5klMaBd7Hqxx1PuaPslt9s+2fZ4vtWzy/O2Dfsznbu64zzinfVP+trB0a7/53OQ+J0Xn6Bp8PmPH5mpwLvjOGXJIyD2NaGmeD/7N1CG8/wCEj8Q3Xlknybq+3xtxj5l289a37m0trxFS6t4p1Rw6rKgYKw6EZ7j1qaktP69Aepwg1Cz0D4m6pLrEqWseoWsP2O5mO1MIMOm7oOcHn29qRr+08QfE3SZdGnS5j062mN5cwncm1xhE3DgnPOPr712l5Y2eoQ+Te2kFzFnOyaMOufoaLOws9Oh8mxtILWLOdkEYRc/QULS3l/X6g9b+ZxfhzWtK0zX/ABTHf6nZ2jvqRZVuJ1jJGwcgE12Njqunamrtp9/a3axkBzbzLIFz64PFVrjw3oV3O89zounTTSHLySWqMzH1JIyas2Oladpiuun2FraLIQXFvCsYbHrgc0La3kD3OKbxDov/AAtRbv8AtjT/ALMNHMRm+0ps3+dnbnOM45xVvxxLHYax4a1i7Vm0yzun+0OFJEZZcI5x2Brd/wCEU8OZz/wj+lZ9fscf+FazxpJG0ciK8bDBVhkEemKOi8v87jerfn/lY4Dx1rela7osGj6RfW99qd3cxfZltpBIYyGBLkr93Az1/wAa9AGQoBOTiqVloulabI0lhplnayMMM0ECoSPcgVeo6WF1CiiigCjrE8Fto15PdWj3lukTNLbpGHMi45G08HjtXPaza6BrfhB9RF7Lb2H2T92YbpkiQAZCmIN5ZIPGCD6V19Zw8P6KLv7WNIsBc7t3nC2Tfn13Yzmk1dNDTs7nHT773wn4V1DULiLTNWhlRrbzYCIWfBARwowgZQPTHb0pvjZdc1S30vS5U0+3mnvI2SG2neaSTacluUTaqjJJ57V6BNBFcwtDPEksTjDJIoZWHuDVex0jTNMLGw060tC/3jBAsefrgVV9b+dybe7bysQeIP7L/sC8/tr/AJBvl/6R977uf9n5vypPDn9lf8I/Z/2H/wAgzYfI+90yc/f+brnrV+4t4Lu3e3uYY5oXGHjkUMrD3B4NFtbW9nbpb2sEcECDCRxIFVfoBwKQyWsHxr/yJGt/9ecn/oJreqOeCG5geCeJJYZFKvHIoZWB7EHqKUldNDTs7nE6b4avJ5NLuYp4V0iaG1urqEk73mjjwuOMbTiMnn+CuXss/wDCCaN9ox/ZX9uN9v3fd8vzDjf/ALO7Gfwr2CONIo1jjRUjQBVVRgADoAPSoYbCztrVrWC0git2yTEkYVDnrwOOapv3r/1un+liUvds/wCtGv1OV8a+QZ/Dxs/L/tT+0Ivsvl43+X/y0xjnZt69ulOfZ/wtZft+Mf2b/wAS/wAz7u7f+825/jxjpziuistF0rTZGksNMs7WRhhmggVCR7kCpr3T7LUYRDfWlvdRA7gk8Qdc+uCKS0/rysN6/wBedziLH7D/AMLqvvsfl7/7L/0jZj/Wb1znHfG3NM8LJqsl/wCIg1/psF8L6Q3KXVm0shjwNhyJV+Tb04x1rt7fStOs5UltbC1gkSPyleKFVKpnO0EDpnnFNvNG0vUZFkvtNs7qRBhWngVyPoSKNkl6r8bh/X4WMbwRaw2mgSi11Fb61kuZXieO3aGNATyiBiflBzgg45rO+GthaSfD2FHt42W7aYTgr/rPnZefXgYrtlVUQIqhVAwABgAVFa2ltZW629pbxW8K52xxIFUZOTgDjrT7gtvnc4fx5pVlZeE9I0uCHbZJqNvEsTOzfKSeMkk9/WrvjSGKG58KtFGsZi1aKNNgxtUg5Ax0HA49q6u5tLa8RUureKdUcOqyoGCsOhGe49aJ7W2ujEbi3imMTiSPzEDbGHRhnofekt7+d/y/yB/pb8yaiiigDzHwt4V/tiPVrr+3tcsf+Jpcr5VjeeVHw3XGDzT9EtL2w0Txxa6dcXVxeRXEixTTPvmdvLHJPdq9Ft7S2tFdba3ihV3MjiNAoZj1Y46k+tENrb27zPBbxRPM2+VkQKXb1bHU+5pW0t5W/Id9b+d/zONjOg/8KkG77N9g+wc5x/rdvP8AwPf+Oaz7xbpo/h4NRDG685TKJBzu8sdc9/613B0LRze/bTpVibvdu8/7Om/PruxnNWprS2uJYZZ7eKWSBt0TugYxn1UnofpVN3d/NP7ibaW8n+J4/MiJ4e1l1RVf/hKx8wHPDDH8z+ddZqgvj8UbdftNpbqbAixa7tzKpfd84QB0w+MdycV1x0jTDE8R060MckvnupgXDSf3yMct79akvLGz1CHyb20guYs52TRh1z9DSWlvL/JIp6t/11uc1oll5fjbU7ltXtp7r7OiXdtaWTxIGzlXZi7AvjIx1xXW1BaWdrYQCCztobeEdI4Ywij8BxU9HSwvM1vEP/H1af8AXN//AGSsmtbxD/x9Wn/XN/8A2SsmgAooooAKKKKACiiigAooooAKKKKACiiigAooooAKKKKACiiigAooooAKKKKACiiigAooooAKKKKACiiigAooooAKKKKAPMTrWq3ut6zFJ49stFjtb14Ybee2gYlBjBBYg45x36Vc0/xTq0/g7xJO17DdT6YHW21KCIBJ8Lndt5XIPpxyPx0dF8I2rajrtzrWjWU7XGoPLbvPFHKTGQMY6kDOeDitfxDpbT+D9S0zTbaNXktXjhhjCouSOAOgFS7qHy/Ee8/K5zth4m1Q+GZLW4uFfXneKG3lKKN/nqGjk2gYwoLZ4x+7NN8Pv4n8TeF7W5h8SmyuUnnSWQ2MUvmgNheOAMYPTrmui07w7ZINK1C6tB/alnZpAJN5+TC4IwDtPVueetVvAulXujeGxaX8Pkz/AGiV9u4Nwzkg5BI6VbtzP+uxKvyr+ujuc94fi8Y61LqW7xl5QsL+S0I/syFvM2Y+btjOenP1r0btXOeE9LvNMfXTeQ+WLrVZriH5gd0bYweDx06Hmujo6L5fkN7sK4OwufFXjBZ9S03WYdG0wSvHaoLRZ3lCnBZi3A5Hb/657yuDsLbxV4PWfTdN0aHWdMMryWri7WB4gxyVYNweT2/+sJ6j6Cp4n1ZfDPiSC9aKLXNGjbdNCoKPldySAEd/T/8AVWG+v6xa6Kmpx/EXTLy5ESyjTjaQbnYjPl/Id2c8cAfhW4nhjVm8M+JJ71Ypdc1mNt0MLAImF2pGCT29f/11Ne+B9Om8Evaw6JYR6sLIBHSFFcTBP7477u+abvq/JfrcFul6/oO8S6rrX9m+HFsbk6VeancxxTEwrKYtyEkbW9D9OlVdSn8WeEIE1W+1uDWdPSREuYns0gaNGIG5Sp5OSOtT+ILDXrjR/DNxbaa13f2FxFPcW7XCISVQg5cnHXuM1DqEHirxfCmlahokOjac0ivdSteJO8iqc7VCjgkgcmq+07d/w0/4JK2V+346lfxx4lvNK8T2dmviT+xbKSzMrS/YRc7n3YAxgkcfyq14K1iTVtUmC+Nf7bjiiy1v/ZX2baSRht2Bnvx71Nr1vrtn40tdZ0nRP7ThSwa2ZftSQ7SXz1b2Hp3rU0bV/EV7feVqfhf+zbfYT5/9oRzc9htUZ59amO33/qOX+RxlprerahNqLz/EOx0kw3s0MdrPbW5YIrYByxB/TtXYeCtXv9a0JrjUAjyRzvFHcRoVS5Rekij0P9Kz/Dfg2zS31Ftb0SxluJtQnljeaGOVjGzZXnnH0q/4M0u80XTb2wuoTFDHfTG0G8MPJJyuME4HXg80R217f5A/1/zOkrlfHuqX2k6Jay2F+thJLexQvcMiuERs5JDcYHX8K6qua8aaPca3p1hbW9stwqahDLMjFceWCd2d3BGO1J7r1X5jXX5nKz+IdV0e4s5oPG+neIjLcJC1hFbRK7hjgkGMkgj34+vSr/iPWNSXxtJpcXiy20GzSySYNPBC4dyxBAL45x79q7Cz0HR9Pm86y0mxtpcY3w26I35gVhT+GU1Dx/cahqOmW11p509Io2nRJAJA5JwpyQcHrin1S9fyJ7v0/MreEta1O51+90ufVrfXLOKASrqVvCqBXJx5Z2naTjnis7xBF4y0Qaew8ZecL2+jtAP7LhXZvz83fOMdOPrW7pnh99G8cXVxp9jHbaRc2ShhBtRBMrH+AHrt7gYqfxdpd5qiaMLOHzTbarBcS/MF2xrnJ5Iz16Dmmvs/11H3/roLbaP4jh0u+huPFJubyVR9muBYxR+SRnqvIYHjOfwrHTxzMuhNaSwA+KUk+xmxA5aY9H/3MfNnpjvXdVy0miXLfE2HWRaobNdNMJnyuRLvPGM5+73x7Ut3Z/1/WwbK5u6VBeW2mQRaheG8u1X97PsVNzd8BQAB6VcooobuCCiiigAooooAKKKKACiiigAooooAKKKKACiiigAooooAKKKKACiiigAooooAKKKKACiiigAooooAKKKKACiiigAooooAKKKKACiiigDW8Q/8fVp/1zf/ANkrk5PFHh+GV4pdd0xJEYqyNdxgqR1BGeDXWeIf+Pq0/wCub/8AsleFaLBdSHV2h8BWOtr/AGlcf6XNPCrfe+7h1J4/rS62DoetC5gNr9qE8Zt9m/zQ42beuc9Me9Zn/CWeG/8AoYNK/wDA2P8AxrlPCUaR/DTWSpKF2uy9rtIFq2CDEPYdfxrI8P8AhnX7nw9p88GieCZYZLdGSS6tJGlYEcFyBy3rT6/d+IdPv/A9Ol1fTbe2huZtRtI7ecgQyvMoWTPI2knB/Cpri6t7NFe5uIoEZgitK4UFj0Az3PpXEeONLt7m18LaXcQRJBJqEcMkUA2ooKMCF9B6Vma1fXCaHBoWpOz6hp2qWq+Y3W4hL/u5Py4PuDR1+dvy/wAxdPlf8/8AI7668Q6LY3DW95rGn286Y3RTXKIwyMjIJz0otPEGi39wtvZ6xp9xO2dscNyjscdcAHNZni7Q9Jn0DWL6bS7KS8FnKwuHt0MgIQ4O4jORgY+lN8G6JpMHhzRr6HTLKO8ayiY3CW6iQkoMndjOTmhdb/1v/kN9Lf1sb15qFlp6I97eW9ssjbEaeVUDN6DJ5NTu6xozuwVFGWZjgAeprybxNrvhrWvF9/Z6/qIhsbC3a2t1WJ3zO/35PlBGVwAM9xXSeGPECa/8O7pjMJbm0t5LeZhn5yqHD88/MMHnvmk37jkv6/r9R295ROzgnhuoEnt5Y5oZBuSSNgysPUEdakrn/A3/ACI2i/8AXqn8q6CqkrOxMXdXCqN9rWlaZIsd/qdlaSMNyrPOsZI9QCavV5x4ujlk+ItisPh+DXG/sxv9FnkjRR+8+9lwRkf1qeqRXRs7yx1TT9TV20+/tbtUOGNvMsgX64PFOvNQstPRHvby3tlkbYjTyqgZvQZPJri/Dvh/UP8AhLI9ak0Cz8PW8Vu0LWttKjmck9TsAUAY+vArB8Ta74a1rxff2ev6iIbGwt2trdVid8zv9+T5QRlcADPcU29v6/r/AIIlrc9Vuru2sbdri8uIreBMbpJnCKM8DJPFSCRGiEqupjK7gwPBHrn0rk/BGsW3ivwcILox3TQqbS6DAkSYGA2Dzhlwee+fSufNrrEN/wD8K9ScCwkXzkvd+ZVsskGLH97Py59D0pta2/r+uoLa7O+bXdISzivG1WxW1lbZHMbhNjt6Bs4J4P5VPe6hZabAJ768t7WIttEk8qopPpknrwa47xtpdl5fhbSlgRbI6ikHlKMAJsYY/Kud8Sw6ne+E76PVLadE0S18lJZUKi5lMmwSL2I8sdfVzUt6NjS1SPTbzXNI09kW91SytmkXegmuEQsvqMnkUllrukalOYLHVbG6mC7jHBcI7Y9cA9K4DXrC91Lxno8FjaaTdTDR9xj1WMvFjcOQAPvf/XrpPC2hajpt7NPqOleGbXMe2OTSbdkfryGLDpVW1+8m+n3HRWuoWV88yWl5b3DQtslWKVXMbejYPB4PWmyarp0UVxLJf2qR2zbJ3aZQIm9GOflPI4PrXmegLJobah4ngDtCmq3EGpRLzug38SY9UJz9Ca6Lwrb2mpX/AIsiuIYbq1l1LJSRQ6ONikcHg9jSWv3X/L/Mez+f+f8Akbv/AAlnhv8A6GDSv/A2P/GtK2ure9t0uLSeKeB/uyROGVvoRwa4RvD2if8AC00s/wCx9P8Asv8AY5k8n7Kmzf5uN23GM44zXd21rb2VulvaQRQQJ92OJAqr9AOBR0uD3sTUUVheMtVm0TwhqV/bnE8cW2NsZ2sxCg/gTmk3ZDSu7GxDcwXHmeRNHL5bmN9jBtrDqpx0PtVCfxLoNtO8FxremxTRna8cl2isp9CCeKk0PTY9I0SzsYs4ijG5iclmPLMT3JJJ/GvNrKG5k1/xGYfBFlryjU5M3E80KFOB8oDqTjv+NN/Fb+uglrG56guoWTWBvlvLc2YUubgSjy9o6ndnGKpw+JtAuJkhh1zTZJXOFRLuMsx9AAea4xdBvNF8A+LJbu3gshexyTR2MD7ktxsxjPTJ9uOBWBqFvcjwTul+Hdhbw/ZE3akk0LOq7R+92qA2e/X60N7/ACBa2+Z7DdXdtZW73F3cRW8CfellcIq845J4HNU7XxDol9cpb2msafcTvnbFFdI7NgZOADnpRY2Nrc+HLOzuNmoWxt4wWnjDCYADDFT64BrlvAOkabHea/cJp1os1vrFxHDIIVDRJgDapxkDk8D1p295oSd4pnZHULJb9bBry3F4y71tzKvmFfULnOODT2urdbtbRriIXLqXWEuN7KOpA64968913SZtT+JF5JZSeVqVnpcVxZvnjzBIflPswJU/WrVhq8Wt+P8ARb6NDGzaXOssTfeikDgMh9wc0lrb5/r/AJDel/l+n+Z3X2iH7SLbzo/PKbxFuG7bnGcdcZ71JXJ+P3On6JFrsJ23WlzpKjDqyswV0PswPP0FdUjB0Vx0YZFC2BjqKKKACiiigAqleazpenSLHfalZ2sjjKrPOqE/QE1drjrWXSPCMl7BeXv9o6vfzvPJFBbmS4kB5VdiliABwM4H0oA69HWRFdGDKwyGU5BFOrmfBGmXmm6Tdfa4Psi3N5LcQWeQfs0bHITjgdzgetdNQAUUUUAFFFFABRRRQAUUUUAFVjqFkt+tg15bi8Zd625lXzCvqFznHBqzXm+u6TNqfxIvJLKTytSs9LiuLN88eYJD8p9mBKn60dV/XQOh6E11brdraNcRC5dS6wlxvZR1IHXHvU1cDYavFrfj/Rb6NDGzaXOssTfeikDgMh9wc131HT+u4df67BRRRQAUUUUAFFFFABRRRQAUUUUAFFFFABRRRQAUUUUAFFFFABRRRQAUUUUAFFFFABRRRQAUUUUAFFFFABRRRQAUUUUAFFFFABRRRQAUUUUAFFFFAGt4h/4+rT/rm/8A7JXMaPottokFxDbPK63FzJcuZCCQznJAwBxXT+If+Pq0/wCub/8AsledeJPFus6BqEcUfhn7Xazzx29vc/b0TzZHHC7cEjnIyeOKOoWua9n4btLKw1OyilnMOoyyyyBmX5DIMMF44H1zWHD8OoraBIIPFPiiKGNQqRpqAVVA6AALwK2ZtbvbLwlcaxqGlfZrq3heV7P7QHxtzgbwMcgA9OM1BofiuLWvDlxqYtjBcWyMZ7RnyyEDcBnHQjBBx3pOyv5BvbzLMvhu2uINJinu7yZtMmWeKWSQM8jKCPnJHPXtiote8I6b4ivbG8uzNHcWbh0eFgpYAg7WyDkZGaq/8JJrN3oOl6npHhz7ebyLzJIvtyReT0wMsPmzz2HSs3TvGviXVJLhbXwXvFtcNbTn+1IxsdcbhyozjPbiq1vbqLS1zsr+zj1HTrmymZliuImicocEBgQce/NMstPj0/SLfToJJRHBAsKSEguABgHpjP4Vha74o1LTtet9I0vQf7TuJbY3B/0xYdqhtp+8MHt3qzo2reIb29MWqeGP7NtwhIn+3xzZbjC7VGfXn2pLVf10G9C9oei2nh/S47Cz3mNWLNJIQXkYnJZiAMmq58NWX9rahqEck8cmoW/kXMaMNj4GA+MZ3AHGc49qwYPGfiHUJLs6Z4P+129vcyW/nf2lGm4ocH5WXNa+meKotT8OXuqJaSxTWXmpPaykBkkQZK5H8/0pOzV32/Aavey/pmXB8OYbWBILfxR4nhhjG1I49QCqo9AAvFdVp1l/Z2nw2n2q5uvKGPOupN8j85+Zu9clZeLvFeoWUN5a+B/Mt50Ekb/2tENynocFc1sar4lbRdEtLu906X7fdMkUdhE4djMw+5u6YHrVO63JVjfrOfRrd/EMetl5ftMdsbYKCNm0tuzjGc596wI/GWpWd9aw+IPDU+lwXUohiuVuknQOegbb93NT6/4i8QaPNdyW3hb7Zp9vH5hu/wC0I48qFyx2EE8c/XFLbUdr6HTyKXjZA7IWBAZcZX3GaoaHotp4f0uOws95jVizSSEF5GJyWYgDJrH8PeI9e1qS1luPC/2PTriPzFu/7QjkwpXK/IADzx+ddTTtYL3Mu30G1tPEF3rMDypNdxLHPECPLcr0cjGdwHHX8KVtDtm8Sprpeb7UlqbUJkbNu7dnGM5z71b1C6+w6bdXezf5ETy7M43bQTjPbpXG2/jTxNcabHqSeCWayeMTCRNTjJKYzkLtz07Ur/gP9TqdU0W21afT5p3lVrG5FzEIyACwBGDkHjntina3pFvr2j3OmXTypBcKFdoiAw5B4yCO3pSadrNnqehw6xC5S0li83MnBUd8/TBz9KxfC/jRfEd9NayadJZN5QubUyPu+0Qliu8DAxyBxz1oa3j/AF/Wgk/tEureC7XVr22vBqmq2M9vb/Z1eyuBESmc8naTUujeFf7HvvtX9v67ffIV8q9vPNj574wOakl8QtaeKodGvbPyIbpC1ndiXcsrj7yEYG1vxOacuvtceKW0aztPPS3j33lz5m1YCfupjB3MeuMjAoX5gybS9Bs9Ks7y0j8yaG7nknlWYhsmT7w4A4qDw34WsPC0FzBp8lw0dxL5pEzhtvGABgDgAd81S8PeMV1zVb6xlsvsht3kWJzLvEwjbax6DBGVOOfvVX0rx1/acusgaaY4tPtzcxOZsmdPm2nG35chQe/Wleyv5fgFr6ef4m8dFtj4jGub5ftQtfsmzI2bN27OMZzn3rSriLLxd4r1CyhvLXwP5lvOgkjf+1ohuU9DgrmrviLxbd+HdG028m0V5bq7kEb2iTgmNipYgMAQ2MY4xmm9Nw3OqrN1/SI9e0G90uRtguIyofGdrdQfwIBqnqnii3stEsdVtYxd295PDEhD7eJDjPQ9PSqmv+IvEGjzXclt4W+2afbx+Ybv+0I48qFyx2EE8c/XFKWzTHHdNGr4euLu40WBb+3eC9hHkzqykAuvBZSfvKeoI9afpejW+kzX8sDys19ctcyeYQQGIAwMAccd81j+HvEeva1Jay3Hhf7Hp1xH5i3f9oRyYUrlfkAB54/Oupqne92SrWsipqmnQ6tpV1p87OsNzE0TtGQGAIxxkHmoptHtp/D7aNIZDbNbfZi2Ru27duc4xn8K0KKVug+tzLl0VX8PJo6X99AiRJEtzBKEmAXGDuAxnjB49aydE8C22g6l9st9b1uXMjSyQz3QaOV2GCzqFG498+oFdVRTvrcOljOTRbaPxFLrYeX7TLbLbMpI2bQ27OMZzn3qlb+EdNtfFcviKAzJdyoUeMMPKJOMtjGcnA71vUUgOa8WWVxri2mhRQyfZ7iVZbyfbhEhRgSue7MQAAPc10oGBgdqKKFtYAooooAKypvEFlBO8LwakWRipKaZcupI9GWMgj3BxWrRQBlReIbKaZIkg1MM7BQX0u5UAn1JjAA9zxWdp/g4aUZ2std1SJ7iQyyuUtmZ2PUlmhJP5101c14l8baV4cjMZnhudQMiILNJQH+YjlsA7cA55HP40dfMOht2VrNaRMk1/c3rFsh51jBHsNiqMfhVqiigAooooAKKKKACiiigAooooAKzk0W2j8RS62Hl+0y2y2zKSNm0NuzjGc5960a5XUvGsWleMYNDuLMi3kjR3vfM+WMuSqhlx0JAGc96Fugexct/COm2viuXxFAZku5UKPGGHlEnGWxjOTgd63qyJtb8nxXa6H9nz59q9x52/wC7tIGNuOevXNa9C2DqFFFFABRRRQAUUUUAFFFFABRRRQAUUVleItcj8PaNLfvEZ5AVjhgU4MsjHCqOvX6UAatFY/hvXR4g0xrlrZrW5hmeC4tmbcYpFPK5wM9j+NYf/CYa/dalqNtpXhP7dDZXLW7Tf2jHFlh/ssvuPWjrYOlztKK5vS/Fg1DSdUuJdPltb7TAwubORwcMF3DDDgg+uPwrJt/Gnia402PUk8Es1k8YmEianGSUxnIXbnp2oA7qiubu/F9vH4b07W7S3aeC+miiVHbYV3nHPB5B7frXSUBcKKw5fELWniqHRr2z8iG6QtZ3Yl3LK4+8hGBtb8TmnLr7XHiltGs7Tz0t4995c+ZtWAn7qYwdzHrjIwKFqBtUUVX1C6+w6bdXezf5ETy7M43bQTjPbpSbsrsaV3YsUVwtv408TXGmx6knglmsnjEwkTU4ySmM5C7c9O1XdV8cx2mgaTq2nae98mpSBI4jJ5bD5SfQ5PykY9e9N6biWp1tFcp4j8bw6JolpqVpafbxcx+cqCXZiIAEuTg92UY9Wpur+J/EGnJNc23hT7Xp8UAnNz/aMafLs3N8pGeOR74oel79AWux1tFct4e8R69rUlrLceF/senXEfmLd/2hHJhSuV+QAHnj86gl8Zand3t3F4f8NTapBaSmCW4a6SBfMHUKGyWxQ9HYFqdhRWP4d8Qw+IbKWZLea2nglMNxbTDDxOOoP59a2KACisPxTr8vh3TYbmCx+2zTXKW6Q+cI8s2cfMQax38Z6zpssD6/4Ul06xllWI3KX0c+xmOBlVAOPf8AnQtQeh2lFZXiLXI/D2jS37xGeQFY4YFODLIxwqjr1+lM8N66PEGmNctbNa3MMzwXFszbjFIp5XOBnsfxoWobGxRXHy+MtTu727i8P+GptUgtJTBLcNdJAvmDqFDZLYq7YeKZtX0G6vNM0maXUbWTyZdOmkWF1kBGQWPHQ5z3xR0uHWx0dFcH/wAJt4mGsDSf+EJ/04wfaBF/asf+r3bc52469s5rsdMuLy60+Ka/sfsN0wO+380S7Of7w4PHP40dLh5FuiiuU1fxVqtp4kbRdJ8Pf2nKlstw7fbVhwpYjow9vXvQB1dFczo3iyW81f8AsfV9In0nUmjMscbyLKkqjrtdeCR6Vf8A7c/6d/8Ax/8A+tWdSrCnbne5cKcp35Vsdb4h/wCPq0/65v8A+yV5H8Q/FOjQX2lafJebbqy1S3ubiPynOyMAknOMHgjgZNeueIf+Pq0/65v/AOyVk1p1TJ7nK+IdVsta+G+rahp83nWstnNsfYVzgEHggHqDWJqsMujeHrPxDaRu8Mulpa6jEg+8hjwkv1UnB9j7V6LRSavfz/4P+Yk9U/66f5HP+Bv+RG0X/r1T+VUPAn+s8Tf9hy4/9lrr6Kpu8m+/+YkrRSPMPHX/AAjf/CfWP/CUf8eH9nNt/wBZ9/zOP9Xz0z7VqeC7nwDHqssHhV8XksWXXE/KA/8ATTjvXd0Uo6Ib1PMPDHhX+2YdXuf7e1yx/wCJpcp5Vld+XHw3Xbg881e8M/ufh9r9g2wy2Ml5bu4XDSEA/M/qxB6+1eg0Umvd5fKw09b+dzxHRf8AhVP9iWX9qf8AH/5K/aP+Pr7+Ofu8dfTiu98QX+ly+GtMuRpMupaIzI3nwF1ktVA+WVRjfx6ggiuxoqm7iWh5YviSE3NtD4P1/WNVunnQSWdzE0sYjz8xZ3QMox33Gu98Uf8AIpaz/wBeM3/oBrWoqWrxsOLtK5jeEv8AkTdF/wCvGH/0AVs0UVUndtkpWVjO1/8A5FzVP+vSX/0A1xXhrwPFqHhbTJp/EHiDyp7VGe1W+xDgj7oXHC+2a9GopLr/AF3GzhfGUTx6PY+DNAijjnvh5aoWIWKBOWLEc4PT1OT3rK1e08YaOdO126ttENvo3Bj03zRIYDhXXDcEAc+2M16fRQrrXr/X9feGm3Q5vxZBZa14HvLkHzI0tjeWsyNgq6qWR1PY/wCNHgSzhtvCFhOgJmvIxdXErHLSSPyWJ710lFG17f1/Wn3B0X9f1/wTzTQ/Dz6/ouoCC+axuItYvAJ1j3kxv8rrjI6gjnsQDUnkRWvibxlbwoEii0eJEUdgIyAK9HopNaW8rfhYaet/63ueI6L/AMKp/sSy/tT/AI//ACV+0f8AH19/HP3eOvpxXa+Ibizu18Fz6e++zfU4jC2CMpsbHXn867miqvrfzuTbS3keVeLYZfD9zb6QsbnS73U4LqzYD5YH35ki9gSdw+prv/FH/Ipaz/14zf8AoBrWoqWvd5Sk7S5jG8Jf8ibov/XjD/6AK2aKKqTu2yUrKwUUUUhhRRRQAUUUUAFFFFABRRRQAUUVlTQa+07mDU9NSIsdivp8jMB2BImGT74H0oA1a434nf8AIof9vcH/AKGK3YrfxAJkM2p6Y8QYb1TTpFYjuATMcH3wfpWrR1TDo0FFFFABRRRQAUUUUAFFFFABRRRQAVw9zp9vqvxI1awu03wT6KiOPrIeR7jqK7iijr/XawdP67nmmh3V6fiVZabqYdr3TtPmgeZhxOm4FJB9V6+4Nel0UUdA6hRRRQAUUUUAFFFFABRRRQAUUUUAFee6+2s+I/GcUGhJYPFoREkjXxfymnYcD5eSVHPsSa9Coo63DpY8602TXfDfjZZ9fTTlttdIhLWBfy1nUfITv6FhkcdePSotF8M/23rXiWf+29asNmqSJ5dhd+UjcA5Iweea9Koo/r8gOafQLHw/4S1iGzErtLbyyTTTSF5JW2HlmPWue8NeB4tQ8LaZNP4g8QeVPaoz2q32IcEfdC44X2zXo1FHf5B0scN49hs9F8H6dFEggsrS+tsKASERWz9T/OrafE/wdJIsaaxlmIAH2abkn/gFddRQvMH5GB41sLe/8I6j56ndbwtcwupw0ciKWVgexyKi8CWcNt4QsJ0BM15GLq4lY5aSR+SxPeukooWl/wCv6/4APW39f1/wQrO1/wD5FzVP+vSX/wBANaNFKSumhp2dzznw14Hi1Dwtpk0/iDxB5U9qjParfYhwR90LjhfbNaHiiyt9Ol8H2dpEsVvDqsSRoOgAVq7aiqbu7+dybaW8rHmvinwuuieD/EFybw3CNCIrWIx7RbRGXeUByc8t144UCus1n/kQb/8A7Bkn/oo1vUVLWjXf/glJ2kpf10/yMbwl/wAibov/AF4w/wDoAribnWPDtlqF5/asmq+FtSM7GRbSSQx3HpIAFKNn12/nXp9FVJ3lcSVo2OV8E6lqep219JePcTWSz4sbm5gEUk0eOpUADGehwM11VFFISON+JMP2nRdNg82SLzNUt08yJtrrkkZU9iO1TW/gCxW6hmvtW1rVFhcSJDf3hkjDDoduBmusooWn9eg3qee6+2s+I/GcUGhJYPFoREkjXxfymnYcD5eSVHPsSaZp0mu+G/Gyz6+mnLba6RCWsC/lrOo+Qnf0LDI468elei0ULT+v6/qwPU8wudY8O2WoXn9qyar4W1IzsZFtJJDHcekgAUo2fXb+ddL4J1LU9Ttr6S8e4mslnxY3NzAIpJo8dSoAGM9DgZrqqKFogerucg3/ACV5P+wGf/R1dfRRR0S/rcHvcK891PxFpXhz4o3Vxq119nil0uNEby2fLeYTj5Qa9Coo63DpY4O21OLxh430nUNIjmfTdLjmMl40bIsjuu0Iu4AnGMmui/sWX/nqv5VtUVlVowqpKXQ0p1Zwb5TW8Q/8fVp/1zf/ANkry7xK2reI9fm0bRNQuLIabbmeeaGQpvnYfu4yR27n616f4l3ia2MYUyeVJtDHAJ+TGTXmNh8MtIuIHuvElut/q1xI0txMk8ipknooBHAHqK06kdDZsNbvNZ8FNqOnxK2p/Z2XyX423CggqQenzDv7Vw8RU2iS3fjnWtN18puaLUGMNusvXbsZQpX6Ejv7V0+n+CZdIk1ew0y8ez0a+iDQiGZxNbTDglT3BAB5bPGKjk03x9LZtpst/oEts6eU11JDIZmXGNxT7hPt0pvV3QlorE/iOfxD/wAIpp5tJMzyvGt/c6cvmlYyPneIdT26DODWJpzRQ6vZnQ/HF1czGZVuLDW7hsyoeoRWUMG9MCugfwrfWfhzS7DRtYltrrTcFJHz5c/qsiA8qe3XFULvw94s8Rm3ttfutFgsYpkmP2CORpXKnOMv936jmn9r5/h/XQWvL8v6/wCHM7xzdXI8Z2VoLjxGLZrEyGHQ3PmFt+NxXpjHf6VoeCot2qTS+Z40GyLGzXW/dNkj7o7sMfrV3XtG8RP4qttb0F9L3R2htmW+MmOW3ZAQfTvV3R/+Ew+3f8Tz+w/sew/8eXneZu7fe4x1pR0X3/qOW/3HI3rzz6vqDeKPEOuaKFuGSzSyLRW5hH3W3qpUk98kEV0Wiz6yPCeoGDVLLW7mPzBYXMLg+YMfKJO24H3+tRf2X410qaaLSNU02+s3kMkf9reaZYgf4Qy/eA7ZqXSfCN1baXq6XeqMmoaq/myz2KmEQtjA2Y549e/elry28v6/4cf2vn/X/DHJRFTaJLd+Oda03Xym5otQYw26y9duxlClfoSO/tW74tk1WfSfDNuupm2vLy7jimuLCZlRiUbkEYyucHBqaTTfH0tm2my3+gS2zp5TXUkMhmZcY3FPuE+3SrEng+aDTvDNjaXCPHpF0k0jzEguoBzgAHnJ6frVb/eidV9zOZ8T+JdQ1Xwvmzu7izutPtjPqBt5CjLMH8oRkqR/EHbH+yKf4svLo+JNJtjc+JDA+mCVotEkPms+77xHQj1P0rsPEvhtNU8OarY6bBaW13fgF5CmwOwYHLlRknrzzWbqmg+I01+w1XRJNK8yCw+ySLemTB5ySNo9h3/Cp66/1o/+AV00/rVf8Eg8FRbtUml8zxoNkWNmut+6bJH3R3YY/Ws3wvrOpWGr3d1qV9NcaVe6nNZKZpC32WRWOzGTwrZ2+xArrNG/4TD7d/xPP7C+x7D/AMeXneZu7fe4x1qvpXhQx6Bq2lamYpI7+8nnBiJO1XOVPIGGGM+xFVfW/l+qJ6W8/wBCppEdzrk/iuwn1O/hRdR2RSwTlZIVAU4QnO0fT1NYp8NXI8drof8AwlXiX7KdON3v/tE79/mbcZxjGPaul8F+H9U0GPUjqt3DdT3Vz5oliJywChctkDBOO2atnRbk+O11zfF9lGnG02ZO/f5m7OMYxj3pJWa9P0/zHfR/11/yNLTLH+zdPis/td1deWCPOupN8jZOfmbvVuiigDzrxBfaza/EGa4sLmeS30/T0uprASHZMm9lfC5xuA5B9q1/7VN74+0f7JeSPp9zpckwRXOx/mGGK9M4rRi0W5Txxc62Xi+zS2CWwQE79wctkjGMY96xtO8G3+k+Mm1K1uLd9LjglW1tnYhomchiowuNm7P0z0pLS1/P9f8AgA9b/L9P+CReJW1bxHr82jaJqFxZDTbczzzQyFN87D93GSO3c/Wrd1r8mp/DC91WCR7e8WykEmwlGimUEMPUEMD+lVbD4ZaRcQPdeJLdb/VriRpbiZJ5FTJPRQCOAPUUL4GudOtNf0vSJII9J1K2IghlkcmCfG084OVI5JzngcUNPla6/r/X5IatzJ/1b+tfvKVhrGoRaEPD0l7O+q3ZhFpcO5aQwzLuaTPXKASDP+ytZEmqaj/wrCymOo6o0zat5Ly287G4ZN7DarZyTjoPpXpmn6Rb21rYNPbW731rbLALgICy4XBCsRnHWuR/4QrWYfBtrplvPYG/ttS+2q0jv5RAcsAcLnuO341Uvi/ruv0Jj8P9dn+pm6NF5+s2cfmfEmPMqndetiDg5+f/AGeOa9Srk4P+FhfaIvtH/CMeRvHmeX9o3bc84zxnFdZR0DqFFFFIYUUUUAFFFFABRRRQAUUUUAFcr4w1DURdaRoel3P2S51SZ1a527jFGi7mKj1rqqwfFHh6TXIbWazvDZ6lYy+daz7dwDdCGHcH/PpSY0Z0PhbW9IvLW40rxJfXieYPtVvqs3mo8ffYQuVb0/zme3u7k/E68tDcSm2XS45FhLnYG8wjdt6Zx3qk+geKtdntovEd/pkWnwSiV4NNWTdcFeQGL9B9P/ri7rmgau2vxa94fu7WK+EH2aaG8VjFKmcjJXkEH0p7Wv5/kK17/L8wu7q5X4labaLcSi2fTpXaEOdjMGGCR0z71zN688+r6g3ijxDrmihbhks0si0VuYR91t6qVJPfJBFdLomg6x/wkD694hu7SW8EH2eCCzVhFEpOSctySar/ANl+NdKmmi0jVNNvrN5DJH/a3mmWIH+EMv3gO2aVrW+f5j728vyJdDtLzVvDFzY3XiMXkZl22+pabOFm8sEEBmAwH7Hrwa54+GrkeO10P/hKvEv2U6cbvf8A2id+/wAzbjOMYx7V1nhbw9caIL+5vrqKe+1CbzpvIj2RocYAUf1PJqQ6Lcnx2uub4vso042mzJ37/M3ZxjGMe9V9pf10/wAxL4X/AF1/yMfXTqOlw6H4Y0vU7n7TqEsiNqF03mzLGo3Mc8ZPOB/k1R1mw1LwNax67a+IdUv7eGVFvLXUJvOEkbMASnA2kZ/z0PS+J/D0utw2k1nd/Y9SsZfOtZ9u4BsYIYdwRWPL4e8U+IJreDxLe6WmmQyrK8GnrJm4KnIDl+gz6f4EEd/n+APb5fiUNf1LUbPx9LdQXlz9j0+whuprVZD5bxmQrIdvTIU7umflqO51e9vvHej3ttf3C6ZPeSWkUMcrCKZY0O5yAcNlyRn0UV1S6DKfGd3q0vkPZT6etoYjksSGJORjG3B9ai1Pw002r+Hp9PS1trPS5pHeFRs4ZcYQAY6/SktLev6/5CfX+un+Z0lYvi+ea28H6vPBK8U0dpIySRsVZSB1BHQ1tVmeIdOm1bw7qOnwMizXNu8SNISFBIxzgHiplfldio7o5Xw9q1/a6FdaRql3JLejTzeWd07nfNEyZ69dyMcfTBq/pevHTPhjZ6zeySTyJZK5LsWaVzwBk8kkkCpNZ8LXOo+GLG1triODVbGFUhn5252bHU8Z2sMjp6HtVF/BN5faN4f0TUZoG0uxjzexxSOGncDCgHA+XuTkH+dVLVu39b/16kx0Sv8A1sQeHH1rQNcsoNe1Ce5j1qAuPOcsLe5GWMa5+6Cp4HqtReINR1Gy8fzXMN5c/Y9PsYrma1WQ+W8ZkKyHb0yFO7OM/LVrUfhboQsnk0K2+wapGRJbXBnkYI6kEZBY8cela1roV63iqbV78WjRXGmJaSwoSwLhstwVAK89/wAqfVPt/k7f5BbT1/zVzmrnV72+8d6Pe21/cLpk95JaRQxysIpljQ7nIBw2XJGfRRWNPdXNz4i1xZ7jxxKsN88cY0Vy0KKMfKc9D7Dtiu+1Pw002r+Hp9PS1trPS5pHeFRs4ZcYQAY6/SsqHRvGmk6pq0ukPoDWt9dtcj7WZi4zgY+UAdvepX+f6f8ABKf9fj/wDX8GRbNGaTzNebzJSduuNmdcADj0X/69dFWXon9vfZ5f7f8A7N8/f+7+wb9u3HffznNalUyUFFFFIYUUUUAFFFFABRRRQAUUUUAFFFFABRRRQAUUUUAFFFFAHL+Bru5u9P1Rrm4lmZNUuI0MjliqhuFGegHpVPSb3VZD4y+yyPc3dvdutnFK5KqfLBVRk4Az24FJ/YHinRL+/bw5eaU9jeztcGDUEkzC7fe2lOoPvV3SvClxaaBqNrc6pN/aOoytPPe2xMbJIcY2Y6AYFLp8rfPQez+f4anHRFTaJLd+Oda03Xym5otQYw26y9duxlClfoSO/tW743vdRg8FaXK13Ot1LcwJPJpMpDSAg7vLPGc9h9Kmk03x9LZtpst/oEts6eU11JDIZmXGNxT7hPt0qTU/CF6vg/SdH0i4ge406eKZZLssquUJPO0E9T09O9N/qvzEv0Zz+jRefrNnH5nxJjzKp3XrYg4Ofn/2eOa9Srk4P+FhfaIvtH/CMeRvHmeX9o3bc84zxnFdZT6C6hRRRSGU9Vdo9HvnRirrbyFWU4IO08is/wAGzzXXg3SJ7iWSaaS2RnkkYszHHUk9a1L+BrrTrq3QgPLC6KW6AkEc1xelab8QtH0m1063bww0NtGI0aQ3BYgeuAP5Ulu/l+oPp8/0LXxKurm08O2rW1xfQs99FG5sXKzMpzlVx1J7D1xXP6NF5+s2cfmfEmPMqndetiDg5+f/AGeOa6bX9G1/W/DdhEX01NXt7qO5fmQQEoSQBwWx0/WiD/hYX2iL7R/wjHkbx5nl/aN23POM8ZxTjo/n/kEtV8v8xbi6utH+IFus1xM+m6xD5caO5KwzpzwDwu5ewxkiiK5udX+IMsUNxOmn6PBtlRJGVJZ5OQGA4YKv5E1o+KdEk1zRjDbPHHfQyJcWksmcJKhyCcc46j8aTwtos2iaUyXkqTX9zM9xdypna0jHnGecAYA+lEfPp/X+f4A/z/r/AC/E84nurm58Ra4s9x44lWG+eOMaK5aFFGPlOeh9h2xXaaErW/g7UJ0m8QB2SVl/tpv9IQhe3oOMiqkOjeNNJ1TVpdIfQGtb67a5H2szFxnAx8oA7e9btnB4hutGvrfWzpgupUZITZeZsAK4+bdznPpUu/s7LsVpz38w8GzzXXg3SJ7iWSaaS2RnkkYszHHUk9a3K4PStN+IWj6Ta6dbt4YaG2jEaNIbgsQPXAH8q7LTvt/9nw/2p9m+24/e/Zd3l5z/AA7uemOtaS1baM46JJlquY8Z6hdrb2ei6ZK8Wo6rL5KSoSGhjHMkmR0wP5109cffeB4PEPiO71DxGkdzaqixWNvHM6+Wo5Zmxj5ifqKjqV0J/CF3dW8mo+H9TuZbi806XMc0zFnmgflGJPU9QfTFc7/wt21/58f/AB8/4Vrw+ArbQte0/U/DMcdoEZo7yGWaRhNE3XBO75gQCBwDWn/whGgf8+X/AI+axrqpK3I/0/zN6DpRb9ovQ7fxD/x9Wn/XN/8A2SsmtbxD/wAfVp/1zf8A9krJrcwCiiigAooooAKKKKACiiigAooooAKKKKACiiigAooooAKKKKACiiigAooooAKKKKACiiigAooooAKKKKACiiigAooooAKKKKACiiigAooooAKKKKACiiigAooooAKKKKACiiigAooooAKKKKACiiigAooooAKKKKACiiigAooooAKKKKACiiigAooooAKKKKACiiigAqrZaja6jDJNaS+bEkjRlwpwWU4ODj5hnjIyOKxvHl/PpngjVLq2cpMIgiuDgruYLke4zWvpNlDp2kWdlbqqxQQqihenA60LqD6DNK1mw1qCSbT5/NSKQxSAoyMjjqCrAEH6ilstYsNRu7y1tJ/Nls38ufCNtRv7u7GCfUAnHeuN8ZQX3h7U4tX0K4jt5dXlSwuUdcqZGBCTD0ZefrXYaJo9toOkw6fa7ikYyzty0jHlmY9yTQtVf+r/ANfmD00J76/ttOgWa6k2I0ixrhSxLMQFAABJJJqtrPiDS/D0EU+q3Qt4pZPLRijNlsZx8oOOnU1magP7W8aafY4Jg0yM303p5jZSIH/x9vwFUfHtvDd3Xhm3uI1khl1VEdGGQwKMCKO3m/8AgA9L+S/4J09/qtlpdvHPeTiOKWRYkYKWyzHCjgHr60++v7XTYBPeS+VCXVN5BKgscDJHQZPU8V5nrk8ml6fb+F7yQtJaalbSWUjnJmtjJ8v4p90/QV6bfWkN/YXFncKGhnjaNwe4IxSb91yX9bB1s/63LFFcz8Pr+fUfBGnTXDM0iK0JY9WCMVB/ICumqmrOweoVWutQtbKW2inl2yXMnlwoFLM7YzwAOgAyT0HerNchpzG/+J2svMc/2baww26k/d8wbmYD1OAM+1Jb2Do2dJqOp2elQRzXs3lRySrCp2lsuxwBwD3q3XI/EP8A5Alh/wBhO2/9DrrqFqvn+iB7/wBeYVWtr+2vJ7qGCTe9rII5vlICtgHGcYJwR09abqd/Fpel3V/N/q7eJpGHrgZxVDwpp8un+H4Bcgi8uS11c56+bIdzD8M4/ChAybWvEWk+Ho4ZNVvFtlnfZGSrNuP/AAEHj36VpghgCCCDyCK8qvtZtda8Wapc3Wh6zqumwQtp9qbCz81AT/rW3ZHzdhjtXTfDvWZNQ0E6ddpNFfaYwt5I7iPZJsx+7Zl7Er+oNEdVf+v62+/yB6M6e2v7W7nuYIJd01q4SZCCGQkZHB7EHg9DVmuR1hzYfEfw/NCCDqEM9tOB/EqAOp/A5/M111C2TB7hRRXOePL+fTPBGqXVs5SYRBFcHBXcwXI9xmk3oNK7sbVjqFrqUTy2cvmxpI0ZcKQpZTg4JHzDPGRkcGrNU9KsodO0i0srZVWKCFUUDpwOteP/APFdf9PX/j9ZV63sml/wDXD0fbJu9j6C8Q/8fVp/1zf/ANkrJrW8Q/8AH1af9c3/APZK43QNZudU1HW7edIlSwvPIiKAgldoOWyTzz2xW3WxiblFFcNN43vU8TFY7WBvDsV4uny3fO8TEdQc42hsA8ULV2Dpc7misfXf+EjxB/wj/wDZWfm87+0PM9sbdn45z7Vy+j61491mS9EKeG1Wyu3tJd4nBLLjJXBPHPGcULUHornoFFcT4q8U6tpXiO10uwuNDtUltTO02quyLkNjAYEc+2PWrPhjWda1PUJEvdS8L3dukZJXSZ3kkVsjBOTgDrQtQeh1tFFUdY1SDRNIutSutxht4y7BRyfQD3J4pN2V2NK7sXqK4hNY8etZDVRoulNaFfMWwEz/AGor1xu+7nHbH4Z4q9rXit9MtdBuzElpBqF0kdwL5SjQIVJOckbSMd+KdhXOporkte8cafaW1qdI1PS7y5mu4oTEs6yHYzYYgK2eK0vFWuSaFpHm2sSzX9xKtvaQt0eVjxnHYck/SgDborB8K63c6xYXCajDFBqdncNb3UUWdoYcgrk52kEEVgWGt+ONaN/NpqeHktbe7ltlFyJg52HGTtJHTFHUDvaK5XSPGSXHhS+1jU4FgbT5JIrgQtuV2TH3D3ByAP51Vg1Lx9e26ahBpeiw20i+YlnPNJ55XqBuHygn3/GgDtKK5PxP4k1TRvDNlfx2trZ3s9xHDJFfPujh3ZySyN0GOuenaszTvEniO71K2gOteB5lkkAaO2upGlZc8hRnk4zihauwdLnf0VymueIdXHiOLw/oNtZNem3+0vNfOwjVM4wAvJOfyqfRNU8QnVpNM1/S4UbyvNivbHe1u/ONp3cq3160LUHodJRRRQAUUUUAFFFFABRRRQAUUUUAFFFFABRRRQAUUUUAFFFYfirWbnQ9Otbi2SJ3lvIYGEoJG12wSMEc0AblFFYnirXJNC0jzbWJZr+4lW3tIW6PKx4zjsOSfpQBt0Vg+FtbutYsLhNQhig1Ozna3uoo87Qw5BXJztIIIrnNY1rx9ov2Mzp4adbu7S0j8sTkhnzgnJHHHOKOtgPQaK522ufE1lo+p3etjSTLBC0luLISbSQpJ37voOnvXJWXjbxJeWUNz/bPgWDzUD+VPdSLImezDdwaOtgPT6Krae9xJp9u921u1w0amRrYkxlsclc849Ks0PQEFFcrrHiHV5NfOg+HLO1mvIohNc3F4xEMKn7owvJJ9v8AHFjRdV186o+ma9pUccgi82O9stzW8nOCvzcq3sevP4i1B6HRUVyWh+N7C6jvhq+paZZ3EF7NAkbTrGSinCkhmzk+vSrnhnxC2v3OsBXtpLa0u/Jt5bc5DptByTkg9e1C1/MDoaK4abxvep4mKx2sDeHYrxdPlu+d4mI6g5xtDYB4rU8X61qmkppcOkJZtdX14tsDdhigypOflIPb3o6Jh1OloriT4g8U6Lq2m2/iC30eW3v5xbodOeQSIx6Eh+o9cVe1jxDqja7/AGD4esrae+SITXE925WGBT90ELySfQf44AOoorn9HuvFIvvs2u6dYNEyFheWEx2Kf7rI/wA34jNcvP40159Z1S1t9Q8J2UNndNAi6nM8cjAd8BuR70dbAekUVzOm67fR+GL7V9Wn0q8FuHkVtHkZ0ZVXJGW/izmsqDXPHVzpcetW+maJNYyRiZLSOWQ3DIecBvulsf8A6u1GwHd0VXsLo3un290YJbdpYw5hmUq6Ej7pB6EVYoasC1CiiigAooooAKKKKACiiigAooooAKKKKACiiigCnq2mwaxpN1p1znybmMxsV6jPce461X8PrqEOjw22qRgXVuPJaRSCswXgOMHjIxwcEHNalFAFLUdKstWS3S+h81beZbiIb2XbIvQ8EZ69DxV2iqmp/bxps50v7P8AbQuYhcKShPocEHnpnPFF7IN2U9E0qawn1K7u2ja7vrkysYySFQDbGuSB0UD8Sat3ul2eoy2kl3D5j2kwngO4jY44B4PPXoeK55PHNt/wibanLCV1BH+zPYf8tPtXTy8deTz9Oa6HSjqB0yBtV+zi+ZcyrbqQin0GSTx65p/pYP1IdV8P6XrctrLqNos0lpJ5kDbmUo3HcEeg4PHFLrn9oHSJ4tLiV7yUeXGzMFWPdwXPso5wMk1o0VLV1Yd9blDRdKh0TRrTTbfJjt4wm49WPcn3Jyfxq/RRVN3dxJW0CufudKubXxfDrVjH5sdzELW+i3AEAcpIM46HII9DwCRXQUUutw6WKGsaLp+v2BsdTt/PtiwcpvZeR05Ug1gJ8MPB0ciyJo+GUgg/aZuCP+B111FC01QPXcyPEGlTazBaWgaNbT7Skt0GJy6IdwUDHOWC5zjjNasiLLG0bZ2sCpwSDg+45FYtxrNzF41s9GVIjbT2ck7MQd4ZWAABzjHPpW5Ruv69P0Dr/Xr+pV03TbPSNPisbCAQ20QIRAScZOTyeTye9MTSbGPWJNWSDbeyxCGSQMRvUHIyM4J98Zq7RR1uBgR6XdXvjBtXvYxHb2URgsYywJYtgvKcdM/dA64BJxW/RRR0sHW4VT1bTYNY0m6065z5NzGY2K9RnuPcdauUUmrqzGnZ3Mvw+uoQ6PDbapGBdW48lpFIKzBeA4weMjHBwQc1qUUVTd9RJWNbxD/x9Wn/AFzf/wBkryWw1q58OeIPESz+Hdeukur4yxS2dkXQrtA6kj07V614h/4+rT/rm/8A7JWTS63DpY5O58V3l54c1C407QNZhvUxFBFdWZRnduAwAJ+VepJ4rDi+HXiAeGzozeLIxZyKTJb/ANmxsCxO4/OTuPzfxda9IoosF2YfhK71G68Pwpq1tNBqFsTbz+YhHmFeN6k/eBGDkcZzVLwXaXNrJ4iNxbyw+brE8kfmIV3oduGGeoPrXU0U763/AK6B0sefeLY44fHVnfXvhy91mxGntEUgsftAVy+RkHgcZ9+a0/DOo6XLqTwaf4O1HRneMlp5tMW3RgP4SwPJ9q66iktFYHqFY3ivR5Nf8L3+mROqSzR/uy3TcCGGfbIFbNFJq6GnZ3OFTxjrw08WX/CI6sdaCeXu8ofZi/Td5mcY7/pnvS6/pOo3tn4Ut9UhGozJfxtfFIN0eNrbsgDG0Zxkiu5oqr63JtpZHD+L/C2nxafYyaRoNslymoW7FrSzUOED/McqM49aj1fStc8TeMfOs7t9JtdIXbb3EtmJPOlcfMVVsAgDjP5V3lFJDOAs9J8QeGvGNvqN1fSazb6mBbXkkNkIjEQP3bsqZyByC3YHntVXw/8AD7RtVTVLrXdHl+1PqNxsaR5YiY92VIAIBHJ5xXpNFAHn2meHby/+H+seGZlmgMNzNDZtOhUFFYNGc4+Zc9xVTVJH8R2dpp2t+BtVudWt0KRtuKWocgAt5qsBg4B716ZRR6htt5/ieUy6NfWXwv0exuNKubqW01PdPbRQGRmRZXJwpHKkdM8EEeta1hq2hR6hbtbfDvVrWbzAEn/sRE8sk43bgcgD1r0CinfW4WOL8VPMNSC6p4X/ALa0cxgwyWcHmXEMncEE5wfVcVV8LxX8niWOfTtN1jS9CSBlmg1OVvnk/h2RszFceoOD/PvqKS0B6hRRRQAUUUUAFFFFABRRRQAUUUUAFFFFABRRRQAUUUUAFcn8QormTw/bNbWlzdvDfQStFbRmRyqtk4ArrKKAORTx5vkVP+ET8UruIGW07AH1+aqOr6Vrnibxj51ndvpNrpC7be4lsxJ50rj5iqtgEAcZ/Ku8ooA4Cz0nxB4a8Y2+o3V9JrNvqYFteSQ2QiMRA/duypnIHILdgee1a3ja0ubuPQRbW8s3laxbySeWhbYgzljjoB611NFNPbyDv5lDXI3l0DUY40Z5HtZFVVGSxKnAArzjRbnRrPRLK2vvhxqs93FCqTS/2Gjb2A5OTyfxr1aikBV064W6023nS1mtUeMFYJo9jxj+6V7EelWqoXthc3UyvDq97ZqFwY4EhIJ9fnjY5/HFVv7Gv/8AoZtV/wC/dr/8ZoAwdQ/tPwx4xvNag0u51LTdSijWdLNd80UiDAIXuCP8+t7R9U13XNd+0nT7nS9EhiI8u8jCzXEh/wBnkqB9efzx0sKNHCiPK8rKoBkcDcx9TgAZ+gAp9C0B6nD+EvC9hNbapLq+hWz3D6ncMj3dopZkLfKQWGSvp2qrZR33hyw8WNpmjziWS+22EMNsQp3KAGUAY2g8k9OK9CopW0t5W/L/ACDrfzv+Z5vF8OvEA8NnRm8WRizkUmS3/s2NgWJ3H5ydx+b+LrUV/Zaj4l0Hw3Y61pV281vqYgv1MbgMqqwMm4Y+UjB3DjJPNem0U/6+4On9dTz698GWHhnW9D1Pw7p08bC9EN15Rkm/dMCCSCTgD14xVzUU1Hw14vvNct9MudS07UYY0uUtAGmikQYUhM/MCPT3/HtaKAPKdF8PInjbRtW0rwxeaTp6vKkhumcyuTG3zMhLbFHTJPJNPh+xadruvf2v4I1LVGn1B5YZ49KWddhAxhm9wenFep0UBvv/AFucxpl69z4cvB4f8PyaTPET5NtqFn9nSRsZ+6p6Hpn1rkpntHRxD4D1+w1llI36erQRCTHXzEYLjPcg16pRQ1dgjM8PRalB4esYtXk8zUFiAnbIPze5HU+9adUL2wubqZXh1e9s1C4McCQkE+vzxsc/jiq39jX/AP0M2q/9+7X/AOM027u4krKxsUVj/wBjX/8A0M2q/wDfu1/+M0f2Nf8A/Qzar/37tf8A4zSGbFFY/wDY1/8A9DNqv/fu1/8AjNH9jX//AEM2q/8Afu1/+M0AbFFY/wDY1/8A9DNqv/fu1/8AjNH9jX//AEM2q/8Afu1/+M0AbFFY/wDY1/8A9DNqv/fu1/8AjNH9jX//AEM2q/8Afu1/+M0AbFFY/wDY1/8A9DNqv/fu1/8AjNH9jX//AEM2q/8Afu1/+M0AbFFY/wDY1/8A9DNqv/fu1/8AjNH9jX//AEM2q/8Afu1/+M0AbFFVrK2mtYTHNfXF4xbPmTrGGA9PkVRj8M81ZoAKKKKACiiigDiZdDU/FuHURp7eR/Z5kacRnZ54YqCT03bT9cV21FFHSwPe4UUUUAFFFFABRRRQAUUUUAcP4kurnSfHmm6qukanf2yWMkTfYbYylWLAjPQdvWtbSfFv9raglp/wj+vWe4E+deWXlxjAzy2TXRUULRWB6u4UUUUAFFFFABRRRQAUUUUAa3iL/j5tP+ub/wDsleQ+HPDWn+NrCTX/ABCZr24uJ5BFEZ3RbZVYqFUKRg8fyr17xD/x9Wn/AFzf/wBkrzl/Bd/ZX1zN4d8Rz6Tb3UhlltjbJOm89Sm77uaXUfQq38tz4Q8Ea2tprbahNaH9x5uGltVcgBWOTnGSQSB9MU3/AIVpox0r7Sbi7Or+X5n9qC6fzPMxnd1xj8OnfvW5pvhDTrHQ7vTJ2lvftxZryedsvMx6knt7en15rI/4QfWfsn9mDxle/wBkY2fZ/syeb5f93zevt06cYpu+vfTUF0+Zk3urXGt/DTw/f3fNxJqFusjYxuKyld344z+Nem1zmteE49Q8NWujadcjT0tJI3hkEXm7dnI4JGfxqonh7xisil/HO9QQSv8AZMIyPTrT3b9f8idkvT/ML3/kqul/9gyb/wBDFddXMa/4Y1HU9ctdW0zXP7MuIIGgz9kWbcCcn7xwPyqXSdH8SWeoJNqXir+0LYAhrf8As6OLcccHcpzxSjtb1/Nje9/T8kedHQv7U8SeIZf+EM/tzbqMi+f/AGp9m2dPl25GfXPvXTlZPCHw21S7sdE/sS7yWEH2r7TtYlUD7skdOce1XP8AhD9ftdS1G50rxZ9hhvblrhof7Ojlwx/2mb2HpWvZ6FeyaPead4h1UawlzlSxtlg2qR0wp9ec0kvct5Duue77mFF8NdGOnLcfarxdWaPedVF0/mB8Z3dcY/Dp371rT+GdI8T6Tp41lo9Xa3QhLqORo1kPAZvkbHO31NZg8DawLP8AsseMb3+x8eX9nFunm+X/AHfN69OOnTtXX2Fjb6ZYQWVpGI7eBAkajsBVOzJV0ea+EPAfhrUJtbN1pvmG01WaCD9/INiLt2jhuevU811XjrQNM1fw5d3N9bebNY2s0lu3mMuxtmc8EZ+6OuelaOg6H/YjamftHnfbr6S7+5t2b8fL1OcY68fSofE+i6nrlmLSw1r+zYXR47hfsqzearDGOSNvfp61MruKS7fjYuNlO/n+BR8A6DpmkeGrO8sbbyp760hkuG8xm3ttznBJA5Y9MdawvDvhnT/G+nya94i869uLieRYojO6JbIrFQqqpGDx3zXVeF9D1PQbP7Jfa3/aMEcaR26fZFh8lVBGMgktkY6+lZsngvULO8uZfDviSfSbe5cyy2xtknjDnqUDH5c+1VJpybIjpGxgebcWfhvxv4ekuZbq30yA/Z5Zm3OEeMnYT3xj9as6DLJoehSaBdSM9vdaY13p0jehjzJET6qTkex9q34PBlvbeF9S0iO8le41FX+0Xsw3u7sMbiMjp2Gf8am1bwrFq3hi30hrpopraNBBdovzI6rt3Yz0IyCM9DUyTaa7pL8yl8Sfr+gvgb/kRtF/69U/lXQVn6Fpn9i6FZaZ53nfZohH5m3bux3xk4/OtCrk7ybJirRSPLvHmn/2l8QNOt/7D/tn/iXs32X7X9n6Ofm357envWr4N8K2tnqb303g7+xLiAfuZf7TNzv3AhuM4HHr610cug+b4ut9e+048m0a28jy+uWzu3Z/TFbNTHRff+Y5av7vyPGDoX9qeJPEMv8Awhn9ubdRkXz/AO1Ps2zp8u3Iz65967TTNJj0nwHqyJoX9jPJDM72v2s3HOzAbdk9QOlJ/wAIfr9rqWo3OleLPsMN7ctcND/Z0cuGP+0zew9K17PR9V/sW+sNW1z+0ZblGRJ/siw+WGXH3VPPrU2fs7LsVf37+Z5dovhb7VollP8A8K3+2+ZCrfaf7c8vzcj723Py59K7/wAR6JfzeFNP07SIZIbeF4hc2cNxtkaAD5o1kJ5P1IzjrVey8I+K9PsobO18ceXbwII40/smI7VHQZLZrW1Lww+r6VYx3epzDVLIiSLUYUEbCTGCdo4we4q5O+3f+vIheZx8Gm+HtJ1SxuNPj1fwvdC4VWN3DK8NyCf9WzbinPru/pXqNcafBmq6jJEniDxTPqNlFIsoto7SO3DspyNxXJI9q7KjoHUKKKKQwooooAKKKKACiiigAooooAK4X4k2Caqvh+wkd41uNTWMuh5XKNyPpXdVka1of9sXOlTfaPJ+wXi3WNm7zMAjb1GOvXmjqvVfmHR/M4vW9VuL3wzbWOoEDVdP1e2gugBgP8/yyD2ZcH860vF2iXOo6/BcahY3mqaAluQbOzm2ss2fvsu5Swx6HI9K0PEvguLxBqdjqEd61pNbuhl2puE6K25VIyOQc4Puak1fwrPdaudX0fWJtJ1B4xFM6xLKkqjpuRuMj1pevf8ASw+unb9TI8JW2kad4jkt9JvL+wiltyzaLfQSLgg/6xC5/PGa5L+w/wC1fE/iOT/hDv7c2ag6+d/af2by/wDZxkZ9c16HpPhW5ttYTV9Y1qfVb+KNooWMSwxxq3XCL3Prmruh6D/Y15q0/wBp87+0Ls3O3y9vl5GNvU5+vFPqm+36i6fP9Cp4N0G10bTXki0P+x7i4P762+1m4xtJC/Nkjoc8etdJVa91Cy02ETX95b2sRbaHnlVFJ9Mk9eDVD/hLPDf/AEMGlf8AgbH/AI0N3C1jnvirH5vhi0j8jz9+oQr5O/b5mc/LntnpmsTSvBNrPqcEd78OfsNuWy9z/bZl8vAyDtDZPOBXZatZWPjPTrZbDVbd4ra8jnMsBWZSU528NweR/hXRUR018/0QPXT+up5f4607+0vHthb/ANg/21jTmb7N9s+zYw/3t2e3p71reCvDsem6pNdN4N/sOQRbFm/tM3O8EjK7c8dBzWlrvhjUtR1+DWNL13+zLiK2Nuf9EWbcpbcfvHA7dqsaNpHiKyvvN1PxR/aVvsI8j+z44eex3Kc8elEdF9/6hLV/cecHQv7U8SeIZf8AhDP7c26jIvn/ANqfZtnT5duRn1z713Og6JcWHg++ttM0hdAv5xIY4WuzcBX24V9/Pt9Kh/4Q/X7XUtRudK8WfYYb25a4aH+zo5cMf9pm9h6Vq2/h+8udEvdM8RasdXS5+XeLZYCi46AL3zzmkvgt5Db9+/mcF/wjejWmnhtX0nX7DWEj3S6uhkuAsmMl90bMMZ9QOK9N0WUTaJZSC+W/3Qr/AKUq7RNx97GTjPpXNDwh4iWD7Evja7Gn7fL8v7HH5uzpjzeucd62be40DwnYWukSanaWiQxARpdXKI7Lk/NyRnJzzVX3JsbdFY//AAlnhv8A6GDSv/A2P/Gj/hLPDf8A0MGlf+Bsf+NIZsUVj/8ACWeG/wDoYNK/8DY/8aP+Es8N/wDQwaV/4Gx/40AbFFY//CWeG/8AoYNK/wDA2P8Axo/4Szw3/wBDBpX/AIGx/wCNAGxRWP8A8JZ4b/6GDSv/AANj/wAaP+Es8N/9DBpX/gbH/jQBsUVj/wDCWeG/+hg0r/wNj/xo/wCEs8N/9DBpX/gbH/jQBsUVj/8ACWeG/wDoYNK/8DY/8aP+Es8N/wDQwaV/4Gx/40AbFFY//CWeG/8AoYNK/wDA2P8Axo/4Szw3/wBDBpX/AIGx/wCNAGxRWP8A8JZ4b/6GDSv/AANj/wAaP+Es8N/9DBpX/gbH/jQBsUVj/wDCWeG/+hg0r/wNj/xo/wCEs8N/9DBpX/gbH/jQBsUVj/8ACWeG/wDoYNK/8DY/8aP+Es8N/wDQwaV/4Gx/40AbFFVrLULLUoTNYXlvdRBtpeCVXUHrjIPXkfnVmgAooooAKqanptprGmz2F9EJbeddrqf5j0I6g1booauCdjzYX+vwL/wgYDnUSNsWpk8fY+f3nrvAG3Hrjmu90rS7TRtMg0+xiEdvAu1R6+pPqSeTVJ9B3eMY/EH2nGyyNp5Hl9fn3bt2fwxitmnfTz/r+vmD302CiiikAUUUUAFFFFABRRRQByN7/wAlV0v/ALBk3/oYrrq5jX/DGo6nrlrq2ma5/ZlxBA0GfsizbgTk/eOB+VS6To/iSz1BJtS8Vf2hbAENb/2dHFuOODuU54ojtb1/Ng97+n5I6KiiigAooooAKKKKACiiigDW8Q/8fVp/1zf/ANkri/Evi7TvCy25vUuJWnLbUt0DMqqMs5BI+Uetdp4iIFzaEnAEb/8AsleLw32sa14i1TXLLwudY06aNrC1d72OFfKBIfAbk7jnn8KXXQfS56W95bR2JvnmQWoj80yk/LsxnOfTFcmfiVpYT7QdK1saeT/yEDYnyNv97dnOPwrM8O6mYfCGr6B4g065abS4iktnGwkle2YfLgggNgcZB7Co11ixsdBD6b440+axS3xHYanFHI23b9whSr+2CCfrTbs3YS6Jnaan4k0vSdHj1S4uN1tNt8jyhvaYsMqFA6k1l2Xj3T7jUYLG807VtLluW2QNqFoYllb0ByefrWTfahpF14O8O3Wr2VxpUckiSQTWahUspB91jngKe2QRzz61V1PxCLQ2Sf2/o/idZLuNUs2t0abJP3lMZ2hh6lRT+1bzsK/u38rncprVtJ4il0QJL9pitluWYgbNpbbjOc5z7US6zbxeILfRmSU3M8DTqwA2BVOCCc5zz6VzF5qFponxSa41O4jtbe80tYoZpW2oXWQkgseAcetFvqVnrnxQgm0y4ju4LLTXWaaFgyBmcYAYcE0lrb5/hcb0v8v0NvRPFlhr2oX1jbR3EU1m7K3nKAHwxUlcE5AI746iq9h430zUptVjghusabG0sjsi7ZFBYZT5uc7TjOK5XRdF1HUdNvrrRriC31CHVr6IyTEgeVJw3QHkEKw91qWGzi0/X/F9nAMRQaNDGgPoIiKlu0U/L9LjSu7ef62NWP4k2slst0PDniQWrLv+0fYAYwv97cG6e9a1/wCLLa1sLG+tNO1TVbe8UvG+nW3m7Rx94EjGc/oa5fw54c8S33hPTgPGDwWM1qg+zR6fHuRCv3Q+c9O9d3pOmW+jaVbadaBhBboETcck+59yeauSs2iU72OWtfiRbXjutv4a8SS+XIYpCliGEbjqrYbgjuK2/EPiSPw5BHPNpmp3kTKzO1lB5giCgElzkbRz+hrK8Cf6zxN/2HLj/wBlrQ8Y6jZWXhfUorq8t4JJ7OZYUllVTIdh4UE8nkdPWpk7Rv5X/AuKvKxJ4d8SxeJIZJodM1O0iVVZHvYBGsobOChBO4cfqKoX3j3TrXUJ7K0sNU1WW3O2c6da+asR9GORzVjwTqFleeE9Mgtby3nmgs4VmSKVWaM7BwwB4PB6+lYHgbXNJ0PSLjR9Wvbew1K1upTcLdSCMyFmJDjdgHIx09KqStJrsQn7tzpYPFulXXhq4162kkmtbZGaVFXEilRkqVOMN9ak0nxLYaz4fbWbTzfIRXLxuAJEK9VIzgH8e4rhEdb/AEPx/rNmGGl3iEW7FSokZIyHcD0J7+1W7sHw1o1vq8YxpupaalvfKq/6uXysRy/j90/hUyejfkvvdyl8SXr+FjvNK1KHWNJtdRt1kWG5jEiLIAGAPrgn+dXK5/wN/wAiNov/AF6p/KugqpKzaJi7pM53XfGFtoWqQ6a2mapfXU0RmVLGASkKDjkbgf0pNK8Xf2rqEdn/AMI9r9nvBPnXll5ca4GeW3HFYPiTSv7Y+J2nWv2++sf+JY7ebZTeVJw/TODxXUaH4e/sNpm/tjVtQ80AY1C580JjP3eBjOaUdrvz/Mct7Iyp/H9vHqF5ZwaBr961pMYZJLSzEibh7hv51qWHiJL3SLvUpNM1OxjtQxaK9t/KkYKu4lRnkfj1rgLK00m41/xG1/4vvdFkGpyBYYNSS2DjA+Yqep7Z9q6+EWEfgjVYLDXJNYSO3m3XEt2tw4JQnBYfyqb2hfyKt79vMqw/EWK5gSeDwt4olhkUMkiaeGVgehBDcitu+8TWOmaFDqt+lxbJMFCW8kR84u3RNg/i9q8+8P6foMnh7T3n+IWpWczW6F7ZNajjWI45UKR8oHpXVeKrjQv7J0dr+5ujamdGttUtnVxDIB8sjNyMHnnBFXJW08yFqTWXj3T7jUYLG807VtLluW2QNqFoYllb0ByefrXVV5rqfiEWhsk/t/R/E6yXcapZtbo02SfvKYztDD1KivSqOlwvqFFFFIYUUUUAFFFFABRRRQAUUUUAFISFUsxAAGST2pa5H4g6jdRaKmj6ZG8up6qxt4Y42AbbjLnJ4A28Z7ZzSb7DXmXvD3jHTPE1zdQWK3CPANw85AolTJG9OTlcjrxTtc8WWGh3UVm0F5e30q71tLGAyy7f72OMD8a4e6u9b0G80jWJvCbaVY6ZGLW5kS+jn3W7EDBVRng/MD61ua1eaKPFqynVp9E1Q2Y8q+fy/s9zETnb8+VOD/un3NN9Lf1/X+Yl5/1/X+RuaF4t0/Xrqazjhu7O+hXe9pew+VKF/vY54/HvVO98eWFtf3Fpaabq2qPbNsnfT7QypG3dScjms7Rtc+0eNoLA3ela432R2/tG0twskAB+6zBmUg+gI56iqdlf6RDc6gdK8Tnw9M127XNhqSREeb3YBiDg9eGx9KO39dQ7/wBdDqoPFulXXhq5162eSW1tlZpUCYkUqMlSpxzWkuowtpA1MK/kmD7RtwN23bux1xnHvXC2l9L4h8IeLobe2spJFEsa3djCY0vG2fewckt2Jyc8YqzF4z8PD4eqTqtsJl0/yjb+YPN37Nu3Z1zn8PwpSeja7L8bjirtfP8AQ1r7xxpthoGnazJbXr2+oECJI0UuMqW5G7HQHoTVjX/F2m+HdMt7+4We4iuOY1t1DMV27t3JHGMfmK5Oa1ktvD3w+triPa63kAdGHTKNwag8SeG73SvB+tSXlxDLbWtt9m05EJJjhMwY7sj72Ni8dlpz93m8mKGtvO34nWat40tdJvbazGl6rfT3Fv8AaFSytxKQmccjcDUmjeMbLWNQbT2stR0+9CeYtvf25iaRR1K8kGuZ1Gz1K98daRFpeq/2bcDRcmf7Os2V3jK7W49Ofauh0nwrdW2spq+s61Lqt9FG0UDGBYUjU9cKvf3p2/X82K+n3foULn4k21mUFz4a8SxeZIIozJYBQ7nooy3JPYVvaHr39uLO39k6rp/lEcX9t5RfOfu8nOMfrWP4+/1fh3/sOW3/ALNXX0ltf+ug3v8A15nFH4kWwvvsX/CNeJftWzzPJ+wjfszjdjdnGe9dHrWu6foGnG+1GbyoshVUDLOx6KB3Nci3iHRf+FqLd/2xp/2YaOYjN9pTZv8AOztznGcc4q344ljsNY8NaxdqzaZZ3T/aHCkiMsuEc47A0dF5/wCdhvd/10uW7Hx7p11qNvZXen6rpclydtu2oWvlLK3opyeat3fi/TbLxVb+HrhZ0urhA6SlR5XOcKTnOTtPaud8da3pWu6LBo+kX1vfand3MX2ZbaQSGMhgS5K/dwM9f8adqGkQ638QtU0+4JAk0aPbIOsbiUlXHuDg0dvn+VxP+vvsddLrNvF4gt9GZJTczwNOrADYFU4IJznPPpWjXm2i6rcah8RtPt79dup2OnzW92AMAuGXDj2YYYfWvSaOif8AW4dWv62Iby5Sysp7uQMY4I2kYKOSAMnH5VyMHxGhuoEnt/C/ieaGQbkkj08MrD1BDc10ev8A/Iuap/16S/8AoBriPCngv7d4U0u6/wCEm8R2/m26t5Nvf7I09lG3gUlu/l+o3sv67HT33i6307w/bavc6bqaLcSiFLUwAThiSAChbvj17iqtt44+03UMH/CLeJovMcJ5kun7UXJxlju4A71U+JaR/wDCPadHLcvBH/aVurTiTa0Yyctu7Edc1Bplr4etdTt54/iHf3jq4228+tRyJIegBXv9Ka1fz/yE9F8jb1zxfb6HqkOnHTNUvrmWHzgljbiUhc45G4Hr7U/RvFP9s3ptv7B1yxwhfzb6z8qM4xxnJ55rl/F0NlP8RbFL7W7jR4f7MYi5guxbsT5n3dx7H09q3PC8Oj2t7Klj4vutZmkT/U3GpJcbQD1Cjp9aI6q78/1CWj08hb3x5YW1/cWlppurao9s2yd9PtDKkbd1JyOa2NE12w8Q6eL3T5S8e4o6spVkYdVYHoa4qyv9IhudQOleJz4ema7drmw1JIiPN7sAxBwevDY+lbfgfVxqo1YiCxPlXe03tlCY47s45bBySw7nJ9qI6r5BLRnWUUUUAFFFFABRRRQAUUUUAFFFFABRRRQAVU1O+/szTZ7021xcrCu9ordQzkd8AkZ9etW6KGCMyPX9Nl8PDXRcAaf5PnGQ9h3GPXtj14qfS9QGq6ZBfLbXFssy71juFCuB2JAJxnr1rgZdAhHxEXw+J5Bok0f9qvY/8s/NDFdv+5nDbemRXpVPpcNnYKKKKQBRRRQAUUUUAFFFFAGdLrNvF4gt9GZJTczwNOrADYFU4IJznPPpWjXE6zf2enfE7S5767gtYf7NlXzJ5Ai53jjJrpbTxBo1/cC3stXsLmdgSI4blHY468A5oWqv6/mwej/rsaNFFFABRRRQAUUUUAFFFFAGp4kRZJ7ZHUMjROGVhkEfJwax7e3gtLdLe2hjhhjGEjjUKqj0AHAra8Q/8fVp/wBc3/8AZK8bOtare63rMUnj2y0WO1vXhht57aBiUGMEFiDjnHfpS62Dpc9I+x232z7Z9nh+1bPL8/YN+zOdu7rjPOKpnw9ohuvtR0fTzcbt3m/Zk359c4zmuP0/xTq0/g7xJO17DdT6YHW21KCIBJ8Lndt5XIPpxyPxyn1/WLXRU1OP4i6ZeXIiWUacbSDc7EZ8v5DuznjgD8Ke39dwWv8AXY9UlijniaKaNJI3GGR1BBHuDVOz0PSdOmM1jpdlaykYLwW6IxH1ArB1vxDqsWn6La2FrHDrOr4CrPnbb4UM5I6nbn/PSqF/deKfB6w6nqetQ6xpnmrHdIbRYHhVjjcpXrgnv/8AXDtrb5B0/E7S8sbPUIfJvbSC5iznZNGHXP0NFnYWenQ+TY2kFrFnOyCMIufoK4vxXrGow+LrTTbfxNb6FaSWRnaaeGJ1Zw+APnxyR79qTw5r+pf8JamjyeILTxFay27TNc28KIbcg8A7CVwfz6dO6jr/AF2B6f13O3t7S2tFdba3ihV3MjiNAoZj1Y46k+tNNhZmaeY2kBluE2TOYxukXphj3Hsa8rvvGF4niDV7a78c/wBjrb3bxQ2/9ki4yg6HcF/Dn0rpLTWbwfD3VtXt/Ef9ryxxyvBd/YRb7Cq9NhHODzkjvSuuXm8h296x2kMMVtAkEESRQxqFSNFCqoHQADoKkryh9f1i10VNTj+IumXlyIllGnG0g3OxGfL+Q7s544A/Cu3vLbX9Z0zTp7DVjoc7RB7iI2aTkswB2/MeMHP51TTJVjagtLa1Mpt7eKHzXMknloF3uerHHUn1qG+0nTtUEY1DT7W78vOz7RCsm3PXGQcdBXC+H4vGOtS6lu8ZeULC/ktCP7MhbzNmPm7Yznpz9a3NZ1XUPDmv299eXPm+HrrEMuY1H2OQ/dbIGSh6HOcH8KXbz/pD11N6x0nTdL8z+z9PtLTzMb/s8Kx7sdM4Az1NNvdG0rUpFkv9Ms7p1GFaeBXIHtkVjaXqt94g8Rz3FjcGLQbLMORGp+2TfxEMRkIvTIxk9zXT0dmHWxC9pbSWhtHt4mtimwwlAUK+m3pj2oe0tpbM2klvC9qU2GFkBTb6bemPaodTt7y606WGwvvsN02Nlx5Il2cjPyng5GR+NcIYfGY8XroH/CZ9bH7Z5/8AZcP9/bt2/rnP4UbuwdLnocEENrAkFvFHDDGNqRxqFVR6ADpUlZDXUnh3w1Jdazf/AGx7WJnluPKEXmdcAKOAegrnfC+t6+msW9p4klQjVbY3VkBGqeUwOWh4HJCkHn0o3dg2VzszaWzXi3bW8RulQosxQbwp7BuuPapq5nxHqGqaDfQawsjXGiqNl9bCNS0I/wCeykDcQO4yeP0NA1PUvEWpS6rHI1voKgx2kRjG66PeUkjKr6AYz1NC1/r+v6+YPQ0p/DWg3M7z3GiabLNIdzySWiMzH1JI5qxa6TptjbS29pp9pbwS58yKKFUV8jHIAweKuUUAY/8Awifhv/oX9K/8Ao/8K0VsrVLMWa20K2oXYIBGNgX029Me1T0UAULPQ9J06YzWOl2VrKRgvBbojEfUCr9FFABRRRQAUUUUAFFFFABRRRQAUUUUAFQtaWz3aXbW8TXMalEmKAuqnqA3UCpq5Xx7ql9pOiWsthfrYSS3sUL3DIrhEbOSQ3GB1/CkB080MVxC8M0aSxSKVdHUFWB6gg9RVafSdNubSO0uNPtJbaIARwyQqyIBwMKRgV55P4h1XR7izmg8b6d4iMtwkLWEVtEruGOCQYySCPfj69Kv+I9Y1JfG0mlxeLLbQbNLJJg08ELh3LEEAvjnHv2p/wBfqFzt7LTrHTYjFYWdvaxk5KQRKgJ+gFQ3uiaTqUolvtLsrqQDAee3RyB9SK5jwlrep3Ov3ul3GrW+uWcMAlXUreFUVXJx5Z2naTjniobC58VeMFn1LTdZh0bTBK8dqgtFneUKcFmLcDkdv/rkA7mGGK3hWKGNI40GFRFACj2AqkdB0c3v2w6TYm63bvP+zJvz67sZzXPaX4i1OXR9fs9R8pNZ0hGDywj5JAULI4B9cdPb8K5i213V5NBi1OT4l6alwYBM1lJa2+4NjOw4O7PbgZovrf8ArUPI9SntLa5aJp7eKVoX8yIyIGKN/eGeh9xS3Ntb3lu9vdQRTwOMPHKgZW+oPBrhNe8VapH8PNJ1lbgaVc3csKzyCESCNWzuYKwORxkDrWbo3iSS/wBZs7WL4lfa3klUfZ/7C8vzRnJXdjjI707XbiK+ikeliztRcpci2hE6R+UsojG5U/ug9QPap68/8R6xqS+NpNLi8WW2g2aWSTBp4IXDuWIIBfHOPftVrwlrWp3Ov3ulz6tb65ZxQCVdSt4VQK5OPLO07Scc8UlqN6HYXFpbXYjFzbxTeU4kj8xA2xx0YZ6EetTV5x4gi8ZaINPYeMvOF7fR2gH9lwrs35+bvnGOnH1rpbbR/EcOl30Nx4pNzeSqPs1wLGKPySM9V5DA8Zz+FHS4+ti1/wAIp4czn/hH9Kz6/Y4/8K1njSSNo5EV42GCrDII9MVw6eOZl0JrSWAHxSkn2M2IHLTHo/8AuY+bPTHeuu0qC8ttMgi1C8N5dqv72fYqbm74CgAD0oENstF0rTZGksNMs7WRhhmggVCR7kCrAtLYXbXYt4hcsnltMEG8rnO3d1xntU1cj4ps/EsEWo6rp3ij7JawQNMln/Z8cn3UyRvbnkg9uM0m7asaV9Do5bG3Fy9/DZWr6gIyiTOoViOylwCQufr9KpfafEn/AECdK/8ABnJ/8YrH8J2viW5t9O1bUfE/2u1uLdZms/sEcf3lyBvXngn05xUXirV9dn1j+x/DEyx3VrbNd3TmNXB/uRcg4LH+lOXuuzEtdTpLZtTuWkh1PT7CO2ZCD5V2027PYq0SjGM9/wAKuwQQ2sCQW8UcMMY2pHGoVVHoAOlZum6h/wAJF4ZhvbK4Ns91BlZEUMYX6EYYEHDZHPpXLjxdrMMB8OyWvmeLA3lI2zELp2uc4wFxyR68Y7BtWduoLVXO2vLCz1GDyL60guoc7vLnjDrn1waox+FvD0UiyR6DpaOhDKy2cYII6EHFXrGGe3sYYrq6a6nVQJJ2RVLt3OFAA+lWKWzDdFG+0XStTkWS/wBMsruRRtVp4FkIHoCRTbPQdH06fz7HSbG1mxt8yC3RGx6ZArQooAoXuiaTqUolvtLsrqQDAee3RyB9SKfOlxaWccelWdoxUhRFJKYEVfYqjflirlFAGP8AafEn/QJ0r/wZyf8Axij7T4k/6BOlf+DOT/4xWxRQBj/afEn/AECdK/8ABnJ/8Yo+0+JP+gTpX/gzk/8AjFbFFAGP9p8Sf9AnSv8AwZyf/GKPtPiT/oE6V/4M5P8A4xWxRQBj/afEn/QJ0r/wZyf/ABij7T4k/wCgTpX/AIM5P/jFbFFAFaye9khJv7e3gl3cLBO0qkeuSi89eMfjVmiigAooooAKKKqanBd3Omzw2F4bO6Zf3U4RX2t2yGBBHrQwRKbO2N4Lw28JugnlifYN4XOdu7rjPapq4VPHMy6E1pLAD4pST7GbEDlpj0f/AHMfNnpjvXXaVBeW2mQRaheG8u1X97PsVNzd8BQAB6UwLlFFFIAooooAKKKKACiiigCjfaNpepur6hptndugwrXECyFR6DIplpoGjWFwLiy0iwtp1BAkhtkRhnryBms7xfrF1punQWumMP7V1CYW9pkA7SfvOQeyjJ/Kk8I6pfXUN9puryrJqunTmKZwoXzUPKSYHABH8qF5f1/VwfmdHRRRQAUUUUAFFFFABRRRQBreIf8Aj6tP+ub/APslecaL4RtW1HXbnWtGsp2uNQeW3eeKOUmMgYx1IGc8HFej+If+Pq0/65v/AOyVhw3VvcPMkFxFK8LbJVRwxRvRsdD7GjrcOhl+IdLafwfqWmabbRq8lq8cMMYVFyRwB0ArEvfA+nTeCXtYdEsI9WFkAjpCiuJgn98d93fNdnJIkUbSSOqRoCzMxwFA6kmsn/hLPDf/AEMGlf8AgbH/AI0nrfzBaWfYx9V0TWL7SdB1G0KR67paq/lXDZWQlAsiMynv6g/41Tv7XxT4wWHTNT0WHR9M81ZLpzdrO8yqc7VC9Mkd/wD6x7eO5gmtluYpo3t2XesquCpX1B6Y96q2muaTfzmCy1SyuZh1jhuEdh+ANVf3vxFsrfIw9S8NjU/Hdre3mm291pkentETOqOok35HynnOM84robLTbDTUZLCxtrVGOWWCJUB+uBU088NtA888qRQxqWeSRgqqB3JPQUltc295bpcWs8c8DjKSROGVvoRwaS2sPqcLZHxXoGra39k8K/2hb3l89xHN/aEUXBAA4OT2rVvDrviDwbrFrd6F/Z97LA8UEH2tJfMyvB3DAHPHNdJDdW9w8yQXEUrwtslVHDFG9Gx0PsampWvG3kO+tzir3wPp03gl7WHRLCPVhZAI6QoriYJ/fHfd3zXU6SLldHslvEZLoQIJlZgxD7RnJGQeauVXvL+z06Dz767gtYc7fMnkCLn0yapvVvuSlol2MTwnpd5pj66byHyxdarNcQ/MDujbGDweOnQ81o+ILOTUPDmp2cUQllntZEjQ4+Zipx1464qIeK/DhIA1/SiTwALyP/GrN7rWlaZIsd/qdlaO43Ks86oSPUAnpUtXVvkUnaV/mVvC1hLpfhbTLGeEQzQ26LIgIOGxzyODzmtes+y13SNSnMFjqtjdTBdxjguEdseuAelRz+JdBtp3guNb02KaM7Xjku0VlPoQTxVN3d2SlZWNSucOl3h+I66t5P8AoI0o25l3D/WebuxjOenfGK2bLUrHU4mlsL23u41bazwSrIAfQkHrUH9v6N9s+x/2vYfat23yftKb8+m3Oc0luPoY3jDRdQ8SSWGjx+ZBpTuZb65jdQ2F+6ig85J5zjAwPpWTq/w+vI7VL7TNf1q81OycT2sV/eCSMsD05AxkZHXvzxXoFFC02Dc5XVrHVfEtxZ6ddWj2WjlFmviZlLTNwfIG0n5c/ePfHHu/QtL1Hw7q82mwQmfw/Lma3feoNo5OTGQTkoeoIzjofWunooAKKKKACiiigAooooAKKKKACiiigAooooAKKKKACiiigArmvGmj3Gt6dYW1vbLcKmoQyzIxXHlgndndwRjtXS1DcXVvZor3NxFAjMEVpXCgsegGe59KOwFWz0HR9Pm86y0mxtpcY3w26I35gVhT+GU1Dx/cahqOmW11p509Io2nRJAJA5JwpyQcHriutqjfa1pWmSLHf6nZWkjDcqzzrGSPUAmjqHQw9M8Pvo3ji7uLCxjt9IurJQwg2ogmVj/AD129wMVm2Ft4q8HrPpum6NDrOmGV5LVxdrA8QY5KsG4PJ7f/AFh1llrukalOYLHVbG6mC7jHBcI7Y9cA9KffavpmmFRf6jaWhflRcTrHn6ZNGwHN6X4d1OLR9fvNR8p9Z1dGLxQn5IwEKogJ9M9ff8as+G/COl2Wg6at7oenrqEUCCVzbxs4cDk7gDk575rpIZ4riFZoJUlicZV0YMpHsRUR1CyW/Wwa8txeMu9bcyr5hX1C5zjg0f19wb/13MHxzp+o3+k2X9l2f2u4tr6G48nzVj3KhJPLHAqKDX/F8lxEk3gjyomcB5P7VibYM8nAHOPSumuLq3s0V7m4igRmCK0rhQWPQDPc+lTULQHqclP4ZTUPH9xqGo6ZbXWnnT0ijadEkAkDknCnJBweuKfpnh99G8cXVxp9jHbaRc2ShhBtRBMrH+AHrt7gYrqqijuYJpZYopo3khIEqKwJQkZAI7cc80LT+v67g9b/ANf1sYPi7S7zVE0YWcPmm21WC4l+YLtjXOTyRnr0HNdHWTJ4o8PwyvFLrumJIjFWRruMFSOoIzwa0RcwG1+1CeM2+zf5ocbNvXOemPei+gdTm5NEuW+JsOsi1Q2a6aYTPlciXeeMZz93vj2rqax/+Es8N/8AQwaV/wCBsf8AjTdTGiT28WpXuqPBbMoWOePVJLeJgckYKOqkn1o6BuzarP162mvfDupWtum+aa1ljjXIGWKkAZPHWsa0h8L6hcC3stemuZiMiOHX53Y/gJc1vTXVjpFkhu7yO3gQBBJdT/llnOSfcnNJq6sxxbTuiroNtcad4W062nhP2m3s40eIMCdyoAVznHUeuK5TTPAl9e/aNW1bWtY07U76UyTwafeBEQZwikgHdgd813Fnf2eow+dY3cF1FnG+CQOufqKsVT1k2yVorHF6BpGr+EZ9WsraC41PTXX7TZvJOnmGU8NGxJHU85xjr3NVz4N1KSyOuNchfFvmfaVkDZjXjAt8f3McfXnNd1JIkUbSSOqRoCzMxwFA6kmsn/hLPDf/AEMGlf8AgbH/AI0hl/T57m50+Ca8tGtLlkBlgLq+xu4ypIIqzWHqDaDeWseqXWrmK1YbEnh1WSCJuT3RwpPX349qzY28ITSpFF4laSR2Cqi+IpiWJ6ADzuTRuw6HXUVzN9aeG9MkWO/1u5tJGG5Vn164jJHqAZabZW3hnUpzBY65cXUwXcY4NendseuBL0oA6iiuZvbTw3psoiv9bubWRhkJPr1whI+hlq5H4e02aNZIrvU3jYZVl1i6II9j5lAG1RWP/wAIzYf8/Gq/+Da6/wDjlH/CM2H/AD8ar/4Nrr/45QBsUVj/APCM2H/Pxqv/AINrr/45R/wjNh/z8ar/AODa6/8AjlAGxRWP/wAIzYf8/Gq/+Da6/wDjlH/CM2H/AD8ar/4Nrr/45QBsUVj/APCM2H/Pxqv/AINrr/45R/wjNh/z8ar/AODa6/8AjlAGxRVaysYtPhMUL3DKW3ZnuJJmz/vOxOOOmcVZoAKKKKACiiobq7trG3a4vLiK3gTG6SZwijPAyTxQBzkmiXLfE2HWRaobNdNMJnyuRLvPGM5+73x7V1NNEiNEJVdTGV3BgeCPXPpUdreW1/brcWdzDcQNnbJC4dTjg4I4o6WDrcmooooAKKKKACiiigAooooA4nUvCuoeJfFc17f3d9plnZIIrBrK4VJHJ+++RnaD0xwTTLbwlqHh3xTY6ppt9qGqRT5tr8X1yrusZ5VwTjIU9uT6da7Nrq3W7W0a4iFy6l1hLjeyjqQOuPepqFpawPXcKKKKACiiigAooooAKKKKANbxD/x9Wn/XN/8A2SvO/B3/ACG/Fn/YTP8A6AteieIf+Pq0/wCub/8AsleeXPgG3m1K8voNe16ye7l82WOzvBGhb6Bf50ut/L/IOn9eZua//wAi5qn/AF6S/wDoBrzbw/4Z1+58PafPBongmWGS3RkkurSRpWBHBcgct6132n+GUsdOvrKTVtWvo7tCjNe3PmsgIIO04461jw/DqK2gSCDxT4oihjUKkaagFVQOgAC8CnbV/L9QvovmQeLrZJZ/Cug3SRwaXdXGy5jt/kjYomUjHTClu3sKzfF0dl4cdrkeArM6faSRtFqFveJbOW4xwg38E4/DNdrdeGrDUdAj0fUTPewxgYluJCZdw6PvGDu96x2+HOl3EMsV/qGr6iGQrEb2783yM8ZQEYB9yDTW/wAw0tr2M34i6/p0c2l6Ff3gtrS7kE98wVmIhXkLhQT8zDH4U34f+INIOtapoOlXYmsS5u7H5GTarffjAYD7p5HsTXYWOg2thq99qivLLd3gVXeUg7EUYCLgDC/zo1LQbXU9Q06/keWK6sJTJDJEQCQRhkOQcqR1/nSjoJ6oxfB3/Ib8Wf8AYTP/AKAtddXJXPgG3m1K8voNe16ye7l82WOzvBGhb6Bf51r6HoX9hxzJ/auqah5pBzf3HmlMf3eBihbK/ZDe7NauI+KSPL4cso40id31GBVWYZQkk4DD09a7es3WtDttetreC6eZFguEuFMRAJZTkA5B4pNXt6r8w7nK6X4U1UalCdU0DwSLMEmQ2lm3m9ONu4Y64qp4t0+81H4iWMFhZ6RdSjTGby9ViLxY8zqAB97/AOvXo9c7rnhC31zVIdROp6pY3MUPkh7G4ERK5zydpPX3p9V/XQOj/rqVvC2hajpt7NPqOleGbXMe2OTSbdkfryGLDpXI2Wiatqev+I5bDTPDN3GupyKz6tbvJIDgcKQPu/1zXc6N4V/se++1f2/rt98hXyr2882PnvjA5qjP4At5NQvLyDX9fsmu5jNJHaXgjTcfYL/Ojrfy/UOhLBpclh4Mv7XUG0fRZpkcPPpqeVDHuG0Md2Oelc5/wjMFl4fFhqHgq0u4Ugw+oaZLG0z4H3xvCtnvjJ/EV2WneGoLLTLrT7q+1DVILnPmf2jP5xwRjaDgYFY//CuLAJ9nGta8LHG37CL8+Tt/u4xnH40mrtguhveHJ7W58OafLZXE9xbGBRHLP/rGA4+bgc8c1qVBZWVvp1lDZ2kSxW8KBI0XooFT1Und3ElZWCiiikMKKKKACiiigAooooAKKKKACiiigAooooAKKKKACiiigArkfiH/AMgSw/7Cdt/6HXXVleINBt/EemixuZ7mBFlWVZLZwrqy9MEg0u3qvzDozVrzjxdYXupfEWxgsbTSbqYaYzGPVYy8WPM6gAfe/wDr1sp4D2SK/wDwlniltpBw2o5B+vy1c1zwhb65qkOonU9UsbmKHyQ9jcCIlc55O0nr707ap/1sF9Gv63K3hfQ9R028mn1HSvDNrmPbG+k27I555DFh0rnvDWm22p+HNQ1+fQ7fXNdnu5BLb3TJ8pD7QgLghQF56e3pXWaN4V/se++1f2/rt98hXyr2882PnvjA5qC/8C6dd6hNfWt7qelz3Dbrg6ddGITH1YYIz9MUAjK8GarZ2kniC2fQ00L7AVmuolvfPQFlYkgD5VwF6L/SuGfxNok0E3iR9RA8TC+F1DCYpMCJflEG7bjBTOeeuK9LPw/0VbK8tIGureC8WJbhY5BmTYzNySCSWLcnPOB0rp0hjjhWFI1WJV2KgHAHTGPSjrdBpt/X9bnF+Mr+DVPCej39q26C4v7SRD7Fv5129cvJ4E01vDzaIl3fxWYuvtMXlyKGhOchUO3hQcnnJ96hTwHskV/+Es8UttIOG1HIP1+WhW19f0Qtf6+Z095dRWNlPdztthgjaRz6ADJrI8IWssOhLd3IP2vUJGvZs9QX5C/gu1fwp/iewutWsbfTYEJt7i4QXbhgNsKncw65O7AXj1NbfQYFC6v+v6/yG+x5BosF1IdXaHwFY62v9pXH+lzTwq33vu4dSeP61ueEo0j+GmslSULtdl7XaQLVsEGIew6/jXZaPottokFxDbPK63FzJcuZCCQznJAwBxUFn4btLKw1OyilnMOoyyyyBmX5DIMMF44H1zUte7byt+Q0/ev53/M898P+GdfufD2nzwaJ4Jlhkt0ZJLq0kaVgRwXIHLetb3xBtzB4T0m3Sxt5Sl/bKLSMBInPPyDPAU9Oe1WIfh1FbQJBB4p8URQxqFSNNQCqoHQABeBW3c+G7e90vT7C5u7yVbKaOdJnkDSSMhyN7Ec579Kt6v5r8yVp9zOJn8OaprU9nFF4J07w6YbhJjfRXETOoU5wojUHP14rUGn2ev8AxN1SLWIkuo9PtYfsdtMNyYcZd9vQ84HPt7V3dYOu+EtP165hu5JLq0voRtju7KXypVX0z6f40uw7b/11MFrC08P/ABN0mLRoEto9RtpheW0I2ptQZR9o4Bzxn6+9d5XP6P4X07w291qCyXt7eSJ+9u7pzPOyDnaMDJ6dAMnA68VY/wCEmsP+ffVf/BTdf/G6OiQdbk+v/wDIuap/16S/+gGvNPDfhrXrrw3p89vongqaGSFWSS8tHaZh6uQME16ML6y12C509Y7+NZYWV2lsZoflIwcNIgGeelWtK02HR9JtdOt2kaG2jEaNIQWIHrgD+VCVm36fqDe3z/Q4/wCINgkHhXS7KytLKP8A4mMCpAY8QbiTwVH8JJ5pNL8L61DqltLe6F4Jjt0kDO9paOJVx3QkYBzXT+IfD9v4j0+Ozubi5t1jmWZJLZwjqy5xgkHHWsmDwL5FxFN/wlXieTy3DbJNQyrYOcEbeRRHf5/5A9reRieLrC91L4i2MFjaaTdTDTGYx6rGXix5nUAD73/163PC+hajpt7NPqOleGbXMe2OTSbdkfryGLDpVnXPCFvrmqQ6idT1SxuYofJD2NwIiVznk7SevvTtG8K/2Pffav7f12++Qr5V7eebHz3xgc0R0X3/AKhLV/ccza+H1jvNSv00bSvFUF7dPKt156GWMdPLw4K/L04YVt+B10y3t9SsdNivrUwXRM1leFSbdmGcJjI2nqOTRdeAdPlvJ7mx1LV9KM7mSWPTrsxI7HqxXB5+lXrDTdK8H6e4t4btxNLulkWKW5llcj7zbQT264x+dEdF8gerN2isf/hJrD/n31X/AMFN1/8AG6P+EmsP+ffVf/BTdf8AxugDYorH/wCEmsP+ffVf/BTdf/G6P+EmsP8An31X/wAFN1/8boA2KKx/+EmsP+ffVf8AwU3X/wAbo/4Saw/599V/8FN1/wDG6ANiisf/AISaw/599V/8FN1/8bo/4Saw/wCffVf/AAU3X/xugDYoqtZX0V/CZYUuFUNtxPbyQtn/AHXUHHPXGKs0AFFFFABUVzbQ3ltLbXESywyqUdGGQwPUGpaKAPMTa6xDf/8ACvUnAsJF85L3fmVbLJBix/ez8ufQ9K9ItbWCytIrW2iWKCJQiIowFA7VSbQ7ZvEqa6Xm+1Jam1CZGzbu3ZxjOc+9adHQHuFFFFABRRRQAUUUUAFFFFAHI3v/ACVXS/8AsGTf+hiuurntd8I2+u6lb37alqdjcwRGJXsZxESpOTk7SaTSfCX9k6gl3/wkGvXm0EeTeXvmRnIxyuBRHaz8/wA2D3v/AFsdFRRRQAUUUUAFFFFABRRRQBreIf8Aj6tP+ub/APslea/8Jhr91qWo22leE/t0NlctbtN/aMcWWH+yy+49a9K8Q/8AH1af9c3/APZK8f0Xwz/beteJZ/7b1qw2apInl2F35SNwDkjB55pdfl/kPp/XmdBbeNBN4f1i+l02W3vtJDfabKSQcMFyMOAQQfXH4U+z8YpdeFLjWHsmjuYTsNmJNzGQ42KGx/FuTBx/FVTWdAsfD/w+16GzErtLbSyTTTSF5JW29WY9aNM8LLcyaPq32spbi1t5ZrMR8SypGQjls8Y3DjHO0elPv8v1v+RPb5/oLZ+L9a1XQ7bUdK8MC7aSWWOWIagieVsOAcso3Z57cYqtp3jXxLqklwtr4L3i2uGtpz/akY2OuNw5UZxntxVn4Zf8icv/AF9T/wDoZp3gT/WeJv8AsOXH/stNfpf8v8xvb52/M6/tRRRSA4v/AITDX7rUtRttK8J/bobK5a3ab+0Y4ssP9ll9x61t6dqOt3WlXM95oK2V7GT5Nq16riXjI+dRhcnjpXmJ/wCEC/4STxD/AMJX/wAfn9oyeV/r/ucf88+OuevNd74Y1XwlaeG7mXQbhY9Ks2ZpmYSAISMn/Wcn8KS+C77DfxW8xU8dWH/CNNqksMkd0kn2d9P6zC46eUB3JPQ46c1av9V8RW1hZS2nhlby5mUm4gXUEQQHjA3MBu6noOMVxj2GpTaiPiIunoQrbl08xgSNahSPMJ/5645A9OM9q9J0/ULXVdPgvrKVZbedA6OO4/ofaqtp/X9f16i6nHad418S6pJcLa+C94trhrac/wBqRjY643DlRnGe3FaWu+KNS07XrfSNL0H+07iW2Nwf9MWHaobafvDB7d6g8Cf6zxN/2HLj/wBlrn/HX/CN/wDCfWP/AAlH/Hh/Zzbf9Z9/zOP9Xz0z7Uv5fP8AyuO3xeX+Z2Gjat4hvb0xap4Y/s23CEif7fHNluMLtUZ9efaqnh3xrFrutX+mS2ZtJbeR0gZpNwuAjFWI4GCOOOetZ3gu58Ax6rLB4VfF5LFl1xPygP8A00471Q0TSp9Q8Panc2BCapY61dXFo/qwPKH/AGWGVP19qfXXt+qJ/wA/0OrtfFMEi69LcwmCDSJmjkcNu3gKGLYwMfTmsb/hONb+xDVP+ENuzpBXzfPF3GZfL/veV16c9fxrP8J6k+o6X4u1CDSjdtNdljYSnaX+QBkOQeeo6c1QHiHw3aWuzSdc1/TL9Y8R6WqSTbHxwgSRWXr2BA+lTqvuRW/3s9Dl1WW48PLqmjWn9ovLGskEHmiLzA2P4m4GASefTFYfhzxdrWvalJBJ4Y+y21vO9vc3H29H8qRRkjbgFucDI45rSsdbl0/wbbat4lP2SVYVa5/dn5STgZUAkE5HGOM1y3w/8VaLPqmsWEd7uub/AFWe4tk8p/3kZAIOcYHCng4NVb3mifsJnR634rksNVTSNK0qbVdUaPzXhjkEaRJ2LueFz2//AFUaJ4qlv9Vk0jVdKm0nU1j81IZJBIkqeqOODjuP8DjHvdRj8IeO9R1TVYpl0vU4Igl4kZdYXQEFWxyAevT+uEs9Qi8Y+OtN1PSo5m0zSoZd948ZRZncbdi5wTjqf/1ZUdbfP5Dlpf5foafh3xrFrutX+mS2ZtJbeR0gZpNwuAjFWI4GCOOOetaej63/AGte6tbfZ/K/s+6+z7t+7zOAc9Bjr05rjNE0qfUPD2p3NgQmqWOtXVxaP6sDyh/2WGVP19q0Phzfrqk3iK+WJ4vO1DcY5BhkOxcg+4ORRHX7v8v+CD/X/M7qsLxX4hk8N6XDdw2P22WW4S3SHzfLyWzjkg1u1xXxOgjudA0+CZd0UupwI65xkEkEcUn09V+Y11+ZMviHxiWAbwLtBPJ/teE4/Sp9d8Ualp2vW+kaXoP9p3Etsbg/6YsO1Q20/eGD270/TPAHhjR9Qhv7DTPJuoSSj+fK2MjHQsR0Ncr46/4Rv/hPrH/hKP8Ajw/s5tv+s+/5nH+r56Z9qb3S/rYS6v8Arc7DRtW8Q3t6YtU8Mf2bbhCRP9vjmy3GF2qM+vPtWV/wmGv3WpajbaV4T+3Q2Vy1u039oxxZYf7LL7j1qDwXc+AY9Vlg8Kvi8liy64n5QH/ppx3rkz/wgX/CSeIf+Er/AOPz+0ZPK/1/3OP+efHXPXmjr8v1Dp8z0yz1u9TRrzUdf0k6SLYM5jFys+5AM7sr+Ix7Vhf8Jxrf2Iap/wAIbdnSCvm+eLuMy+X/AHvK69Oev41No134ebwdfxeEbJdStIdwayYyKJGIyVzICeR9fSuaHiHw3aWuzSdc1/TL9Y8R6WqSTbHxwgSRWXr2BA+lDeoLY9PsL2DUtPt761ffBcRiSNsYyCM1YrM8PT6jc+HrGfVovKv3iBmTbtwfcdj7dq06clZiTurhRRRSGFFFFABVPU7i8tdOlmsLH7ddLjZb+cIt/Iz8x4GBk/hVyqep6pZ6Np0uoahN5NrDje+0tjJAHABPUikxrc5vw54u1rXtSkgk8MfZba3ne3ubj7ej+VIoyRtwC3OBkcc1NqXjWLSvGMGh3FmRbyRo73vmfLGXJVQy46EgDOe9YXw/8VaLPqmsWEd7uub/AFWe4tk8p/3kZAIOcYHCng4NX7nT7fVfiRq1hdpvgn0VEcfWQ8j3HUVX8v8AXS4nbX+utjoZ9c8nxVa6J9m3efavcedvxt2kDG3Hv1zXN6j418TaX9n+1+CvLW4nW3hP9qxnfI33RwpxnHU8Vn6HdXp+JVlpuph2vdO0+aB5mHE6bgUkH1Xr7g1uePv9X4d/7Dlt/wCzUkvh8/8AP/IO/l/kX7LW9YOl6heav4f/ALONrEZI4/tiTebgEnlR8vQfnWRZeLvFeoWUN5a+B/Mt50Ekb/2tENynocFc102v/wDIuap/16S/+gGvItF/4VT/AGJZf2p/x/8Akr9o/wCPr7+Ofu8dfTile7fy/UfRfP8AQ9I1zxNqGjabpUg0Tz9Qv5lg+x/a1Xy3Kk434IPTGeBVWHxjqlrqVnba/wCGpdLivJRBDOt4k6+YegO3GM1neL1s9Z0/wimn3U8VncahEsM9uxSRU2MAVJGQfqKg1Tw//wAI1r/h3UH1fUtSie/W3ZNUn85Yy4OGXgbWBHWqW/zt+RN9Plf8zq/E+tanodmLuw0X+0oUR5LhvtSw+UqjOeQd3fp6UnhfXNT16z+132if2dBJGklu/wBrWbzlYE5wACuBjr61V8d6/pmj+HLy2v7nyZr21mjt18tm3ttxjIBx94dcdaZ4A1/TNW8NWVnY3Pmz2NpDHcJ5bLsbbjGSADyp6Z6Uo63/AK7jlsh/h7xiuuarfWMtl9kNu8ixOZd4mEbbWPQYIypxz96jw34w/wCEi1e/shYG3it0WSKYy7jMjEhW27RtyAD1PWuc0Pw8+v6LqAgvmsbiLWLwCdY95Mb/ACuuMjqCOexANavh+CK1+JOv28KBIorK1RFHYBcAUR6X7fpcH1t3/Wx21YHinxDcaBFYC003+0Li9uRbxw+eIvmIJHJBHb2rfrifiHa/bpPDdr589v5uqIvm277JEyrcqexo6pea/MOjZND4x1S11Kzttf8ADUulxXkoghnW8SdfMPQHbjGasa74n1LTtfg0fS9C/tO4ltjcH/S1h2qG2n7wwe3euf1Tw/8A8I1r/h3UH1fUtSie/W3ZNUn85Yy4OGXgbWBHWoPHX/CN/wDCfWP/AAlH/Hh/Zzbf9Z9/zOP9Xz0z7UdvV/lcO/ovzOw0bVvEN7emLVPDH9m24QkT/b45stxhdqjPrz7VU8O+NYtd1q/0yWzNpLbyOkDNJuFwEYqxHAwRxxz1rO8F3PgGPVZYPCr4vJYsuuJ+UB/6acd6oaJpU+oeHtTubAhNUsdauri0f1YHlD/ssMqfr7U+uvb9UL/P9DqIvEl5eR62thpH2m6025FukP2kJ5/Qk7iMLwTxz0rF/wCE28TDWBpP/CE/6cYPtAi/tWP/AFe7bnO3HXtnNO+HN+uqTeIr5Yni87UNxjkGGQ7FyD7g5FW2/wCSvJ/2Az/6OpJapPt+lx9H/XWx0mmXF5dafFNf2P2G6YHfb+aJdnP94cHjn8at0UUAFFFFABRRRQAUUUUAFFFFABRRRQAUUUUAFFFFABRRRQAVU1O4u7TTZ7ixsxeXEa7ktzL5fmewODz6cVbooYI5+Pxfpr+ET4iLFbdUy0R++JOnl4/vbuK1NKubu80yC5vrMWVxIu5rfzPM2Z6AnA5x14riJtEsv+FuxwbG+zSWv9pPb7v3ZuAxQSbemcc/XmvQ6fS/cHo7BRRRSAKKKKACiiigAooooAyJtb8nxXa6H9nz59q9x52/7u0gY24569c1r1wPiXW9O0D4j6Xe6nceRb/2dKm/YzclxgYUE9q3NJ8deG9d1BLDTdS8+5cEqnkSLkAZPLKBRHVff+bB6P7vyR0VFFFABRRRQAUUUUAFFFFAGt4h/wCPq0/65v8A+yVk1reIf+Pq0/65v/7JXA+FLq5uNX8TJPcSypDqJSJXcsEXYOFz0HsKOtg6HUUVQ1yR4tA1GSN2SRLWRlZTgqQpwQa8j0yeW50u1nnl+Jks0kSs8lqxaJiRyUJ6r6Ur6j6HtdFYd5qMXhvweb2V7mYW1su37S2ZpGwAoY/3iSAa5zw4+taBrllBr2oT3MetQFx5zlhb3IyxjXP3QVPA9Vqra2J6XO/orhvFz6g2vwQ3d/qmm+Hxbl2udMRi5mz0ZlDFRj2wf5SeEXddWmisPFSa1pRi3GK6n33UMmevTJU++KS1G9DtaK8dnurm58Ra4s9x44lWG+eOMaK5aFFGPlOeh9h2xXoHgyLZozSeZrzeZKTt1xszrgAcei//AF6Fqrg9HY6KiiuN+JV1c2nh21a2uL6Fnvoo3Ni5WZlOcquOpPYeuKTY0jsqK8t0aLz9Zs4/M+JMeZVO69bEHBz8/wDs8c11Hitr/RJo/EtnczPb2q7b6xeY+XJF3ZATgOP16fV7asS10Oqork/C8974iuX8S3FxLFYyqY7CySX5QmSDJIAcFyex+79a5/xR4budGGltbeKvErfbNShtZBJqBICPnJGAOeOKLO6Qdz0yiuZGiv4e8Paw8es6teyNbOyve3XmNGVVsbDgY/8ArCvOtMnludLtZ55fiZLNJErPJasWiYkclCeq+lHWwdD2uiuB8YR6hHo/hrT9O1XULWa4u44PtEkpEpyhx5mMZOcZFN1fxHd3nhWylEslnqUGqQWt7HFIVKuHww46qw5HqDR1t52/L/MV9Plf8/8AI9AorhvFz6g2vwQ3d/qmm+Hxbl2udMRi5mz0ZlDFRj2wf5SeEXddWmisPFSa1pRi3GK6n33UMmevTJU++KFqN6Ha0V59480u5ivtOvbbXtatvt+owWkkEF4UiRGGCVUDg8Z78k1uavcSeDPA11PFc3N9Laxny5b2TzHZmbA3HjIBYfgKPs3HbVI6WiuF/wCEO1z+zvtx8X6uNY2eZjzR9mD4zt8rGMdv1x2rM1fW9T8SeE/C1xZX02nXeoXohlkt3ZRuAcHoeV3LnFH/AAPxFfS56bRXn+r+I7u88K2Uolks9Sg1SC1vY4pCpVw+GHHVWHI9Qa9Ao/r8v8wCiivHJ7u5ufEmupcXHjeVYb50iXRXLRIvoc9D7DtSvrYfS57HRXGaTbPZ+DtUv47zxEZJbeRlTWZf30JVWwQP4c9fyrh9MnludLtZ55fiZLNJErPJasWiYkclCeq+lPrYXS57XRXB+N5bnTfBWlpbXmrqxuYInkjlIu3Ug5BI6uf51k6NF5+s2cfmfEmPMqndetiDg5+f/Z45prV2B7XPUqK4bxc+oNr8EN3f6ppvh8W5drnTEYuZs9GZQxUY9sH+UnhF3XVporDxUmtaUYtxiup991DJnr0yVPviktQeh2tFFFABRRXG/EBr110O0sr+5snu9QWFpIJChwUbrg8jODigDsqK8r8T+JdQ1Xwvmzu7izutPtjPqBt5CjLMH8oRkqR/EHbH+yK13bVPFPiGTR4tWutO0/T7WB7h7Rts00ki5Hz9gB/n0Oun9b/5B6/1t/md7RXEWB1Dwv4wstFn1W61PTtTikaBrxt80MiDJy/cEf59c7w/oFz4kXVLy48TeIbdk1G4hSO2vyqKqtxgEH1o9P61sG256RRXKeEb3UV1HWdB1O8+2S6bJH5dyVwzxuuV3Y7jHWuebw5c/wDCejRP+Ep8S/ZW043e7+0Dv3+Ztx0xjHt+NC3S7/8ADh0fkemUVxfxLu7my8M2zWtzews17FGzWblZWU5yFx1J9PWuf0qy/tDU4LX7T8S7be3+tu5NkS4GfmPYcYoWrB6I9UormvGumSXeg3F5Dqup2MtjbyyoLK48oSELkb+ORx7dTTPA2nSWugW2oT6rqd9LfW0Urre3BlWMlcnZkcDn36ChdfIH0OoqtepeyQgWFxbwS7uWngaVcemA689Oc1w2jWGp+N7aTXLvxBqdhbyzOtpbadN5SoisVyxwdxJHf/8AV1fh+21ixsZbfWr2G9aOQ+TcoNrPH23jGA3XpmjpqD0dhPs3iT/oLaV/4LJP/j9X7JL6OFhf3FvPLu4aCBolA9MF25685/CvOpNW1ia4k8bRXlyNFt7wQiyDHY9qMo8u3u245HsPau11nRF8QRWzprGqWKICytp1z5XmBsfe4OenH1NHS4dbGzRXmfhjw5c6vLq32jxT4kH2HUpbWMJqBwyJjG7IOTzz0rp/GumSXeg3F5Dqup2MtjbyyoLK48oSELkb+ORx7dTSbsrjSvKx0tFcv4G06S10C21CfVdTvpb62ildb24Mqxkrk7Mjgc+/QVi6Pp+p+OLaXW7vxBqlhbSyutpbadN5IRFYrljg7icd/wD9VNWdhLVXPQqK86Gsarb+GvF2kXl881/o8J8q9T5HdGQshOOjDHX/APXVjw9q1/a6FdaRql3JLejTzeWd07nfNEyZ69dyMcfTBqW7JvyuCWqX9f1qddexatJMpsL2ygi28rPZvKSfXIlXjpxiq32bxJ/0FtK/8Fkn/wAfqPwbPNdeDdInuJZJppLZGeSRizMcdST1rcqmrOwk7q5j/ZvEn/QW0r/wWSf/AB+j7N4k/wCgtpX/AILJP/j9cZ47u7lfGlhaLceIhatZM7Q6G580sHPJXpj1P0q/4NsvP1N7r7T42j+zj/Va3JiKXcCOB3I6+3FKOo3odJ9m8Sf9BbSv/BZJ/wDH6Ps3iT/oLaV/4LJP/j9eaz3Vzc+ItcWe48cSrDfPHGNFctCijHynPQ+w7YrsdID23gfVLiOfxAJDFM6/20/+kRkJxj0HGRSv7vN5XHb3uU2fs3iT/oLaV/4LJP8A4/R9m8Sf9BbSv/BZJ/8AH68s0yeW50u1nnl+Jks0kSs8lqxaJiRyUJ6r6V7DpsXkaXaxeZcybYlG+6bMp4/jP971qrE3KP2bxJ/0FtK/8Fkn/wAfo+zeJP8AoLaV/wCCyT/4/WxRSGY/2bxJ/wBBbSv/AAWSf/H6Ps3iT/oLaV/4LJP/AI/WxRQBj/ZvEn/QW0r/AMFkn/x+j7N4k/6C2lf+CyT/AOP1sUUAVrJL2OEi/uLeeXdw0EDRKB6YLtz15z+FWaKKACiiigAooqpqdj/aWmz2gubi2aVcLNbyFHQ9iCP8mhgi3RXni+KtXisT4XaJ28Vh/sySFfkdMHFzn0CjP17V2+lWB0zTILNrq4umjXDT3Ehd3Pckn+XagC5RRRQAUUUUAFFFFABRRRQAUVy93dXK/ErTbRbiUWz6dK7QhzsZgwwSOmfeuooWquHWwUUUUAFFFFABRRRQAUUUUAa3iH/j6tP+ub/+yV5imjeMtL1nV7jR30Fra/uTOBeGYuOAMfKAO3vXp3iH/j6tP+ub/wDslcLqvj3w1omoyafqOpeTdRY3p5EjYyARyqkdCKXUfQfb23iS90XUrTWzpInnhaO3Nl5m0ZUj5t3PXHSsXTNP+IWlaXa6fA3hhobaJYkLm4LEAYGcAc10Y8UaMfDv9vi8/wCJWP8Alv5T/wB7b93G7rx0rH/4Wl4M/wCgz/5Kzf8AxFPqxdCTWPDepeJk0i11l7QWMWZdQitncedIBhVXjITvyc/zqjqPwt0IWTyaFbfYNUjIktrgzyMEdSCMgseOPSumj8RaRLoa60L6NdNYEieQFB1x0YA9RjGKqaR428N67d/ZdO1WKW4P3Y2Vo2b6BgM/hR1stw6XexUvtL8VJex6npWp2guJIFjubG8aR7beBy0ZGCv5DPemaV4e1qbxLFr/AIgurD7RBC0MUGnxsEw3UszfMfp0rraKA6HDQ6N400nVNWl0h9Aa1vrtrkfazMXGcDHygDt710uif299nl/t/wDs3z9/7v7Bv27cd9/Oc1l33xF8KabfTWV3qvl3EDlJE+zynaR1GQuKu6X4v0LWrS7utPvvOhs13Tt5LrsGCehUE8A9KFt5A9zbrnvGOjahrel2sWmPbJdW93Hcr9pLBDsycHaCfSqH/C0vBn/QZ/8AJWb/AOIrZvPFGjWGiQazdXnl6fPt8ubynO7cMjgDI/Kh9wXYyoP+FhfaIvtH/CMeRvHmeX9o3bc84zxnFW9X0O613WbVb14P7DtiJTbqSWuJR93eMY2DrjJyetVbb4leEbu6htoNW3zTOI0X7NKMsTgDJWtXWvEujeHUjfVr+O28z7ikFmb3CqCce+KNrMPIp6ZoV3oniC4ewkh/sS7zLJbOxDQTHqYxjG1u4yMHp6VL4n0W51pNKFs8SfZNRhu5PMJGUTOQMA881Y0XxLo3iKN30m/jufL++oBVl+qsAce+K1aNreQX3KmqWz3uk3lpGVEk8DxqW6AlSBmuP0zT/iFpWl2unwN4YaG2iWJC5uCxAGBnAHNd3RQBzWp6LqurJ4emuXs1urG8S5uhGWCHAIITIJ798VQ8VeDbzVtXtb/TLmGANNE19FKSBKI2yrDAPzAZH0x6V2lFHW/ncP8AhjmtX0vxGmrnUtA1SD95GI5LLUN7QZHRl28qfXHWq+leHtam8Sxa/wCILqw+0QQtDFBp8bBMN1LM3zH6dK62ihaA9TivFmi+LNav7cWD6KljaXUV3b+eZRKXQdGwCMZJ6dsVtvpd3rfheXTfEP2YXFwjJMbLdsHPyld3ORwee9bVFFtLDvrc4b+xvHosP7JGsaR9j2+V9u8qT7SE6fd+7nHH9c81eufCHlWfhuy0141t9Ju0mfzSdzqAckYHLEnPYV1dFO/Umy2OL8VeDbzVtXtb/TLmGANNE19FKSBKI2yrDAPzAZH0x6V2lFFJaKw+twrA8O6Hc6Rfa5PcPEy3961xEIySQpAGGyBz9M1v0UdbgVNUtnvdJvLSMqJJ4HjUt0BKkDNcfpmn/ELStLtdPgbww0NtEsSFzcFiAMDOAOa7uigDlfEWja5rfh3T4kfTk1a3uYrl8lxAWTJwOC2M4psH/CwvtEX2j/hGPI3jzPL+0btuecZ4ziusooQHNavpfiNNXOpaBqkH7yMRyWWob2gyOjLt5U+uOtV9K8Pa1N4li1/xBdWH2iCFoYoNPjYJhupZm+Y/TpXW0ULQHqFFFFABWF4h0W51a80WaB4lWxv1uZRISCVAIwMA8898Vu1ma34h0rw5ax3OrXX2eGR/LRvLZ8tgnHyg9gaNtQtfQo+JfDaap4c1Wx02C0tru/ALyFNgdgwOXKjJPXnmqF94Z1i11SLWPD17axXzW6W91BdqzQzBRwcr8wI9v8c3tK8d+GdavFtLDVopLhvuxujxlvYbgMn2FXta8R6P4eiSTVb6O2D/AHAQWZvooBJ/KjbUe+n9f1oZOj+HtXk19dd8SXdrNeQxGK1t7NWEMIP3mBbkk+/+GMzT9F8caI19Dpknh5rW4vJblTcmYuN5zztAHpXUaL4k0fxFE8mk30dyIzhwAVZfTKsAR+VVNW8b+G9DvfseoarFFcDrGqM5X67QcfjQ9H/XqLcd4a0CfR1vLq+u/tmp38gluZgu1eBhVUdgBXOnRfHp8SjXA/hr7QLX7IEzPs2bt2cYznPviuw/tvTDoz6ul5HJp6RmRp4zvAUdemTx6dasi9t208Xwk/0YxecH2n7mM5x16UXs79gXbuY/ivQ7rXrCygtnhR4L2G4cyEgFVOSBgHmt+sW78W6HY6TaapcXuyyvCBBL5TndkE9AMjgHqBU+r+INK0GyjvNSuxDbyNtRwjPuOCeignoCc0bBuUvFlnr+o6a1loraasdxFJFcm9MgIVhgbNvfk9fam+EbHX9M01LDWm0xobaKOK2NkZCxCjB37u/A6e9Sav408P6DJBHqeoeQ88YljHkyNuU9/lU0mjeNfD3iG9NnpeofaLgIZCnkyJ8oxk5ZQO4oXVA3ojHh8O+KPD09zD4bvtMk02eVplg1FZMwFjkhSnUfX/EmUeFNXt/DWpW8Opxzazqj5uryXKKinghAAei5A6dc8dK39L8Q6VrNzeW+n3Ymms38udNjKUbJHcDPIPIqOfxPo9ta6hczXm2HTpRFdN5Tny2OMDAGT1HTNLS1v6t/Vh63/rcw0+FXg5YVRtLZmC4MhuZck+vDYz+GK2PCumahouhx6bfzxXH2ZmjglQnLQj7m4EDBA4wMjgc1lf8AC0vBn/QZ/wDJWb/4iul0zU7PWNOiv7CbzrWYEo+0rnBx0IB6iq1J0M3w1otzoz6wbh4m+26jLdx+WScI2MA5A5496Z4ss9f1HTWstFbTVjuIpIrk3pkBCsMDZt78nr7Vc0nxHpGuzXUWmXqXElq2yYBWG08juBkcHkZFZ+q+PfDWiajJp+o6l5N1FjenkSNjIBHKqR0IqXZpJlJu7Y7wjY6/pmmpYa02mNDbRRxWxsjIWIUYO/d34HT3rKi8PeKfD01zD4avdLk02eVpVg1FXzAzHJClOoz6/wD69TSvHnhrW9QjsNO1LzrqQEqnkSLnAyeWUDoKTVfHvhrRNRk0/UdS8m6ixvTyJGxkAjlVI6EVTet2JbWRSi8HXUfhfW7aa9S61jV0cz3LjYm4rhQAAcKPp/hU+s+FrnUfDFja21xHBqtjCqQz87c7NjqeM7WGR09D2rd0zVrHWNMj1GwnEtpJnbIVK5wSDwwBHINYh+IvhIXv2T+24PN3bc7X2Z/38bce+aTV3y/1oC7/ANamp4b02bR/Den6dcNG01tAsbtGSVJHpkD+Valc74ml8KWaW994itrFxIwhimuLQTHuQM7TgdT6U2/0fwdpdvHPeaLpMcUsixIwsEbLMcKOFPX1pttu7EkkrIln0O5l8dWuuK8X2WGye3ZCTvLFs5AxjH41v0yGGK3hSGGNI4o1CoiKAqgdAAOgp9LyH5nDQ6N400nVNWl0h9Aa1vrtrkfazMXGcDHygDt71tW9t4hvdB1G01o6WLqeN44TZeZsAK4+bdz19KrX3xF8KabfTWV3qvl3EDlJE+zynaR1GQuKu6X4v0LWrS7utPvvOhs13Tt5LrsGCehUE8A9KWjjbpYd2pX6nP6Zp/xC0rS7XT4G8MNDbRLEhc3BYgDAzgDmuzsftn2GH+0PI+2bB532fPl7u+3POPrXL/8AC0vBn/QZ/wDJWb/4irWs3vhB9Jtte1m3sp7SVVWG5ns/NJDZKjG0sB1PSqbe7El0Omorzy2134XXd1DbQWulPNM4jRf7KIyxOAMmOur/AOET8N/9C/pX/gFH/hSA2KKx/wDhE/Df/Qv6V/4BR/4Uf8In4b/6F/Sv/AKP/CgDYorH/wCET8N/9C/pX/gFH/hR/wAIn4b/AOhf0r/wCj/woA2KKrWWn2WmwmGws7e1iLbikESopPTOAOvA/KrNABRRRQAUUVV1HUbbSrCa+vHZLeEbpHWNn2j1woJxQBkvody3j2LXQ8P2VNPNqUyd+7fuzjGMY966Cq6X9pJpw1BbiM2Zi84TZ+XZjO7Ppim6bqNrq1hFfWTtJbTDMbtGybh64YA4o8uwb6lqiiigAooooAKKKKACiiigDk/EGjeIJfE9nrOhPpgeC2eBlvjJg7mzkBB7etWtJ/4TP+0E/tn+wfsWDu+x+d5mccY3cda131Ozj1WLTHmxeSxGZI9p5QHBOcY/WrdC0QPVhRRRQAUUUUAFFFFABRRRQBreIf8Aj6tP+ub/APsledePv9X4d/7Dlt/7NXoviH/j6tP+ub/+yVwuq+AvDWt6jJqGo6b511Lje/nyLnAAHCsB0Ao6pj6M6SuQb/kryf8AYDP/AKOro9K0qy0XTotP0+HybWLOxNxbGSSeSSepNH9l2Z1gat5P+nCD7OJdx/1e7djGcde+M09pX/rZi6Nf1ucp47NsNb8Lf2nt/sn7Y/n+Z9zfs/d7s8Yznr71p+KpvD8EemyavbieYXKfYUhP73zMjGzBBx0zzjp7Vt31haanZyWl9bx3FvIMNHIuQayNJ8EeG9DvBd6dpUUVwPuyM7SFfpuJx+FJefe4P9LHQUUUUAeZaHpeu3+v+KH0nxH/AGXEupuHj+wpPvOBzljx9K6+6tr608F6hDqOof2hdLazbrjyVi3fKcfKvAwOK0rHSrLTZruW0h8t7uUzTnex3ue/J4/CrFxBFdW0tvMu6KVCjrkjIIwRxUte5y+X6DT97m8zz7wzoXiufwvpctr4z+zW72yGOD+y4n8tccLuJycetX/iHDcN4f0mFLrbcnUrZRceWDh8kb9vTrzipv8AhVvgz/oDf+TU3/xdbF14V0W90ODRbiy36fBt8uHzXG3HT5gcnr61cnd380yUraeRQ0/Q/FNvfwzXnjD7XbI2ZIP7Mij8wem4HIqpqNtDP47NzpWp2sevQWYje0vYGZGjJyGUggg9clSfcVNB8NPCFtcRTw6RtlicOjfaZTgg5B5atbWvDGi+IlQarp8dyY+FckqwHpuUg49s0uw+5gWF0sPj6GDVNKso9ZntG23djcswZAQSHQgY6cE56YBrtax9F8K6H4d3nStOit3cYZ8lnI9NzEnHtmtijpYOoUUUUAFFFFABRRRQAUUUUAFFFFABRRRQAUUUUAFFFFABRRRQAUUUUAFFFFABXI+Nf+Qn4V/7C8f/AKC1ddWZrfh7SvEdrHbata/aIY38xF8xkw2CM/KR2Jo6p+gdGjnficLQ+GkDCM6kbmL7B/f8zePu9+maZZfZv+Fs6n/aPl/a/skH9n+Zj7mDv2Z75z07Z9619J8DeGtDvBd6fpUcdwv3ZGd5Cv03E4PuKu614c0fxFEkeq2MdyE+4SSrL9GBBH50LTb+tLBvo/61uc3feR/wtnSv7N8v7V9km/tHy+vl4Gzfjvux19vaj4aGz/sW83+X/awu5v7Q3Y8zdvOM98Y6Z966PRfDej+HYnj0mxjthIcuQSzN6ZZiSfzqpq3gjw3rl79s1DSopbg9ZFdkLfXaRn8aNtF/Wtwev9eRg3DaJceDvF8Hhy1ZY1WXzmj5ikl2c7OSOBjoAOla0Oo2X/CtUu/tUX2caYFMm7jPl4x9c8Y65rfstPs9OsUsrO2igtkGFiRcL7/XP61gH4deEje/azokHm7t2N77M/7mduPbFJq6ce9hp2afa5y8lsH8K/D+3uI8q91Crow6gxtwfwNQeI9H1WHwjqn9qx4t9KtPstg5dWMwMo/eHByDsVF5969Ku9Jsb5rNriAMbOUTW+GKhHAwDgEZ4PQ8U/UtOtNX0+awvovNtphiRNxXIznqCD2pz1vbq/6/UUdGr9LHBajZ6le+OtIi0vVf7NuBouTP9nWbK7xldrcenPtXWaHpmu2E0rat4i/tSNlARPsSQbD65U80zV/Bfh/XpIJNT0/z3gjEUZ86Rdqjt8rCm6N4I8O6BffbdM07yLjYU3+dI3B6jDMR2p31+/8ANitp9xxWi2sthaX/AInsYi9xY6tdLdRr1nti3zD3K/eH0PrXReBLmG91HxNc20iyQy6jvR1PDAouDXT6fpdlpcU0VnD5aTTPPINxbc7fePJPX06VDo+gaXoEc8el2gtknk82RVZiC3tknH0HFJafdb8v8hvX7/8AP/Mwm/5K8n/YDP8A6Oqbx9rUukeGpIrMSNqF832a2SJSzlm6lQOSQM/jit3+y7M6wNW8n/ThB9nEu4/6vduxjOOvfGaJtKsrjVLbUpoN93aqywuWOEDdcDOMn1xmk1eKX9btjvrf+tjy621e18O6vol5a6DrenWcMIsL6a+svKjaMkbXLZPzB+fcE16P4o58JawR/wA+M3/oBq9f2NrqdjNZXsKzW0y7ZI27j+n1pp061bSjpjRlrQw+QUZ2JKY243Zz075zTleUWv61CPuyTKHhL/kTdF/68Yf/AEAVk+Pv9X4d/wCw5bf+zV1NpaQWNnBaWybIIIxHGmSdqgYAyeelYOq+AvDWt6jJqGo6b511Lje/nyLnAAHCsB0AqpO8+Zd7/iTFWjbyE+IP2j/hA9X+zbvM8nnb12ZG7/x3NKP+Ec/4QTj7J/Yn2bn7uzGP/Qs/jn3rX0zSbHR9Mj06wgEVpHnbGWLYySTyxJPJNYh+HXhI3v2v+xIPN3bsbn2Z/wBzO3Htioavddyk9n2OOit5LvwZ4Dt9Sj8xZb9UKSDO6IhwoP8AwHFSa5PJpen2/he8kLSWmpW0llI5yZrYyfL+KfdP0Fek3mlWV+9o9zAHazlE0GGK7HAwDweevQ8VDqvh/S9bltZdRtFmktJPMgbcylG47gj0HB44qm/ev53/AC/yJtpby/z/AMzSorKm1a9imeNPD2pTKrECRJLYKw9RmUHH1ANEWrXskyI3h7U4lZgDI8lttUepxMTgewJpDOH0PS9dv9f8UPpPiP8AsuJdTcPH9hSfecDnLHj6V191bX1p4L1CHUdQ/tC6W1m3XHkrFu+U4+VeBgcVpWOlWWmzXctpD5b3cpmnO9jvc9+Tx+FWLiCK6tpbeZd0UqFHXJGQRgjipa9zl8v0Gn73N5nn3hnQvFc/hfS5bXxn9mt3tkMcH9lxP5a44XcTk49av/EOG4bw/pMKXW25OpWyi48sHD5I37enXnFTf8Kt8Gf9Ab/yam/+LrYuvCui3uhwaLcWW/T4Nvlw+a4246fMDk9fWrk7u/mmSlbTyKGn6H4pt7+Ga88Yfa7ZGzJB/ZkUfmD03A5FdPXJwfDTwhbXEU8OkbZYnDo32mU4IOQeWrXm1a9imeNPD2pTKrECRJLYKw9RmUHH1ANIZq0Vj/2zf/8AQs6r/wB/LX/49R/bN/8A9Czqv/fy1/8Aj1AGxRWP/bN//wBCzqv/AH8tf/j1H9s3/wD0LOq/9/LX/wCPUAbFFVrK5muoTJNY3FmwbHlztGWI9fkZhj8c8VZoAKKKKACkZVdCrKGVhggjgilooA8xfRbmPxR/whCXmPD8y/2h5QzvWLccwA/3S+D64r0xEWNFRFCoowqgYAHpVQ6VZNrK6sYf9OWH7OJd7f6vOcYzjr3xmrtHS39f1YHvf+v6uFFFFABRRRQAUUUUAFFFFAHI3v8AyVXS/wDsGTf+hiuurE1zwhoXiSeKbVrH7RJEuxD5zpgZz/CwqDSfAvhvQtQS/wBN03yLlAQr+fI2ARg8MxFC2s/P8we90dFRRRQAUUUUAFFFFABRRRQBreIf+Pq0/wCub/8AsleQT+Ndek1vVbS3v/CllDZ3LQIupzPHI4HfhufrXr/iH/j6tP8Arm//ALJXmHh3w1Z3OseJJ9X0SCUyaizQSXdoG3JgcqWHIz6Uuvy/yH0/rzNHTNW1xvD+o6nf3Gh3SxQtJbPpju8bFQc7iTzyB0PrXMWXjbxJeWUNz/bPgWDzUD+VPdSLImezDdwa7nUdPgtvDF/ZadZxxIbaURwW8QUZKngKo6k15/otzo1nollbX3w41We7ihVJpf7DRt7AcnJ5P40+r+X6i6L5/odT4g13XdN0zQ1sxpcmpahcJbuzhzBllJypB3YyOvPFVbnxB4s8OmG68RWWlT6a8ixSS6a0gaDccBmD9Rn0pniueaaw8ManaaNqTx299HO9pFakzRoFbgoOh7dag1rUtR8bWI0Ky8ParYwzyIbm61KDyVjjVgx2jJ3HjpTW/wA/w0/4Iumvb/M9BopAMAAdqWkM5LQ/G9hdR3w1fUtMs7iC9mgSNp1jJRThSQzZyfXpVzwz4hbX7nWAr20lvaXfk28sByHTaDknJB69qyPCXhewmttUl1fQrZ7h9TuGR7u0UsyFvlILDJX07Vc8G6a2mah4jjWxNpbNqBa3UReWjJsHKDGMfSkvPt/kD8u/+ZlnWvHo8SjQwnhr7QbX7WHxPs2btuM5znPtiuh1vXLrTde0CwiSFo9QmeOYuCSoVcjbz/PNck3iO5/4T0a3/wAIt4l+yrpxtNv9nnfv8zdnrjGPf8K0vHw1JNS8PX2m6dc3ktvLKdsURcIzJhS2OgyefoafSPr+v+Q3u/66f5mr4p8UDSvDt1qGlTWl1Nb3CQOpbeqMXAIbaQQQD0qz4o12TQ9HEttEk1/cSLBaQtnDyseM47Dkn6Vwvi7w1faTpEdnpdndXsd7HCl0YI2c+fG4bzWA/vAtk+y1s6tpOu+JvGAltLt9IttHTbb3EtmJPOlcfMVVsAgDjP5UdPn+Gn9fMXX5G/4W1u61iwuE1CKKDU7Od7e6jjztDDoy5OdpBBH41W0rxLNHqGo6X4h+zWt5aAzpJHlIprf/AJ6LuJ6dCM8Vj2ek+IPDXjG31G6vpNZt9TAtrySGyERiIH7t2VM5A5BbsDz2q18RNFGrQaMyWD3UiajGkhjjLFYWzvzjovTPajt56f1/Wwd/vNjwzq2oa5bz6jPDFBp8z/6Cm1hK0Y/jck4+bqAAOPWt2kVVRQqgKoGAAOAKWgDC8Q61c6TeaLDAkTLfX620pkBJCkE5GCOeO+aXxVrNzoenWtxbJE7y3kMDCUEja7YJGCOap+NrC/uLXTb/AE62+1XGm3qXX2cNgyqAQQD681janqOo+MpdO0618ParYwx3kVxc3GoQeUqKhzhefmJ/z7C108/w0/4IPTXy/HX/AIBra54h1ceI4vD+g21k16bf7S8187CNUzjAC8k5/Kp9E1TxCdWk0zX9LhRvK82K9sd7W7842ndyrfXrWf4qeYakF1Twv/bWjmMGGSzg8y4hk7ggnOD6riqvheK/k8Sxz6dpusaXoSQMs0Gpyt88n8OyNmYrj1Bwf5kf8wl/kVZ/GmvPrOqWtvqHhOyhs7poEXU5njkYDvgNyPeut8MX2o6hprz6jdaPcsZCI5NKkZ4toA4JbvnNcPD9i07Xde/tfwRqWqNPqDywzx6Us67CBjDN7g9OK7fwxeWl3p8i2WhXejQxyYEFzaC33EjO4KOCPeiPw/JBL4vmblY+u/8ACR4g/wCEf/srPzed/aHme2Nuz8c59q2KKAPP9H1rx7rMl6IU8NqtldvaS7xOCWXGSuCeOeM4re1zXb3QNUtJ7uOBtBmxFNOqsHtpD91mOcFD0zgYz19YPBdpc2sniI3FvLD5usTyR+YhXeh24YZ6g+tHiZL7XbuPw5awzw2cy79QvTGQoi/55oSMFm6HHQUdvl+Wo9Lv5k+ka9da9rNw1hHD/YdtmP7UwJa5l7+Wc42DucHJ6V0Vcn4bivvDuoP4bngnm05QZNPvFjLKqZJMUhHAYdieo/Kuso6KwurKmqXL2Wk3l3GFMkEDyKGHBIUkZ/KvOrHxv4kvrGC6/tjwNb+agbybi6kSRM9mG7g16Drkby6BqMcaM8j2siqqjJYlTgAVz3hTwno//CKaX/aHh+x+2fZ1877RZJ5m7vuyM5+tJbv5fqN7L5/oHiHX9c0DwpZXcx0n+0prlIZHO/7MoYn5skhgAMZP1qhp3iTxHd6lbQHWvA8yySANHbXUjSsueQozycZxV/4iWsk+g2Ii0+e+jiv4ZJLeCHzS0a5yNvcY454rPsNW0KPULdrb4d6tazeYAk/9iInlknG7cDkAetOOrfr/AJCei+X+Za8V+KdV0rxHbaXYXGh2sctqZ2m1V2RchsYDAjn2x61Z8MazrWp6hIl7qXhe7t0jJK6TO8kitkYJycAday/FsccPjqzvr3w5e6zYjT2iKQWP2gK5fIyDwOM+/NafhnUdLl1J4NP8HajozvGS082mLbowH8JYHk+1Edvv/UJb/cddRRRQAVgeLPEMvh+wtmtrZJ7u8uFtoFkfYgds4LH04rfrA8VtqCWERtdJt9WtN+LyzkXc7x+qAnBIPYg5pMaM6PVfGem31qNY0vT7yynlETSaV5rPBn+JlbqvrjpWr4q1yTQtI821iWa/uJVt7SFujyseM47Dkn6Vw6xy3NzbR+E/DfiDRrkTo0st0WgtxGD82ULFW47AZ/lWvq+la54m8Y+dZ3b6Ta6Qu23uJbMSedK4+YqrYBAHGfyp72/rQXc3vCut3OsWFwmowxQanZ3DW91FFnaGHIK5OdpBBFO0DWbnVNR1u3nSJUsLzyIigIJXaDlsk889sVzlnpPiDw14xt9Rur6TWbfUwLa8khshEYiB+7dlTOQOQW7A89qisNaufDniDxEs/h3XrpLq+MsUtnZF0K7QOpI9O1HX5fjoH+f4anc6pcvZaTeXcYUyQQPIoYcEhSRn8q87svG3iS8sobn+2fAsHmoH8qe6kWRM9mG7g11Q1l/EPhzV1j0fVrKRbd0WO9tvLaQlDjaMnP8A9euO0W50az0Sytr74carPdxQqk0v9ho29gOTk8n8aXV/L9R9F8/0Ou1zxHe6HoGnStBa3Wp30kdunlyFbfzGH3tx52fqarx6r4z02+tRrGl6feWU8oiaTSvNZ4M/xMrdV9cdKsa1dX0/h+xuLLw+t5Yvj7Xpl1CFmEWOAqk4DD0OfauUWOW5ubaPwn4b8QaNcidGllui0FuIwfmyhYq3HYDP8qpfF8yX8PyPU6KKKQzz7WNa8faL9jM6eGnW7u0tI/LE5IZ84JyRxxziuq0P/hIts3/CQf2XuyPJ/s/zMd87t/4dKzfG1pc3cegi2t5ZvK1i3kk8tC2xBnLHHQD1rT8S315p+gXM2nWs1zesvlwRxIWO9uATjoB1JPHFF7Rv/XQbV2v67nOTeN71PExWO1gbw7FeLp8t3zvExHUHONobAPFdF4iutWsdMN5pFvDdSQsHmt3U7pYx94IQeGx0yD9K46L4deIB4bOjN4sjFnIpMlv/AGbGwLE7j85O4/N/F1rUtNd1+LwfBC+k3cmvh/sWHhby94485mxjZjBz0J4FHS3X+v1/MS3v0/r9CceMf7avLCy8MeTcyTKJ7qeVSUtYvRgCDvJ4C5+vFdbXBWGi33gW/hubb7TqdlfkLqQSMvIkxJPnqq87eSCOwx1rvafQXUK4iLxD4p8QzXM3hqy0uPTYZWiWfUWfM7KcEqE6DPr/APq7evPdH1DU/A9tLol34f1S/topXa0udOh84OjMWwwyNpGe/wD+uepXQ0YvGN1J4X1u5msktdY0hHE9s53puC5UggjKn6/41N4f8VXOqeHLye8gjg1WzhMksIB2EFS8bDnO1h79jWKNH1W48NeLtXvLF4b/AFiE+VZJ87oioVQHHVjnp/8AqqzrOk39t4d07V9NtZZNQg09bS6tVB3TQsmCu3ruVuQPqKJXs/RffqC+JfP9DqPDepTax4b0/UbhY1muYFkdYwQoJ9Mk/wA61Kw/BsE1r4N0iC4ikhmjtkV45FKspx0IPStyrl8TsTH4Vc5LXtZ8RJ4qttF0FNL3SWhuWa+EmOG24BQ/TtTdK8Qa7D4oj0HxDBppmuIGmhm0932gL1DK/P41V8QeGLbxF8QLManp8txpyac2XG9UEm/gblI5wTxmug0Twpofh1nbStOjt3cYZ9zOxHpuYk49qmO2vn+bHLfTy/Q5+HWfGmrapq0WkJoC2tjdtbD7WJg5xg5+Ukd/arej+INc1rTNVtYoNOi1zT5xCWZ3a1c8HII+YcZ49cVkaZ4D0nWdY8QXeu6RK8jai/kPI8sYaPAIIwQCM55ruNL0nT9Fsls9NtY7aAHOxB1PqT1J9zQvhV+yB/Fp3OKOtePx4jGh7PDX2o2v2vfifZs3bcZznOfau30z+0f7Pi/tX7L9uwfN+y7vL68bd3PTHWsFrS5/4Wml59nl+y/2OY/O2HZv83O3d0zjnFdTT+yv66sHv/XYKKKKQBRRRQAUUUUAFFFFABRRRQAVU1P7eNNnOl/Z/toXMQuFJQn0OCDz0znirdFDBHJJ45tv+ETbU5YSuoI/2Z7D/lp9q6eXjryefpzXQ6UdQOmQNqv2cXzLmVbdSEU+gySePXNcrLoan4tw6iNPbyP7PMjTiM7PPDFQSem7afriu2p9L9/6/r5A9HYKKKKQBRRRQAUUUUAFFFFAGJ4q1yTQtI821iWa/uJVt7SFujyseM47Dkn6UzwrrdzrFhcJqMMUGp2dw1vdRRZ2hhyCuTnaQQRWDq+la54m8Y+dZ3b6Ta6Qu23uJbMSedK4+YqrYBAHGfyplnpHiDw34xt9Rur6TWbfVALa8khshEYiB+7dlTPA5BY9Aee1EfPr/S/rzB+XQ7+iiigAooooAKKKKACiiigDW8Q/8fVp/wBc3/8AZKya1vEP/H1af9c3/wDZK878Hf8AIb8Wf9hM/wDoC0dbf10DoddRWdr/APyLmqf9ekv/AKAa8i0Xwt9q0Syn/wCFb/bfMhVvtP8Abnl+bkfe25+XPpSW7H0PbqK5zWNSg8IeCDcRQLB9mgWKC3aTcFcjCruPXB7+gNcd4XuNO8L+ItPih1y0v11iLy73yrpJCt3ncH4PRtxX64qt5W/r+v8AgE9LnqlFcN4u0S51HX4LjULG81TQEtyDZ2c21lmz99l3KWGPQ5HpTPCVtpGneI5LfSby/sIpbcs2i30Ei4IP+sQufzxmktRvQ7yivGDoX9qeJPEMv/CGf25t1GRfP/tT7Ns6fLtyM+ufevRfBmkx6TozImhf2M8kpd7X7WbjnAAbdk9QOlC1VwejsdFRRXA/FFLeS10JLuznvLdtSUSW9uCZJF2NlVAIOT9aAO+orx+wh0u28W6JH4f0XV/D08tx++fURJGlxGBlowGZtxPbpWj4607+0/H1jB/YP9tY05m+zfbPs2P3n3t2e3p70dv66XDuen0Vwvgrw7HpuqTXTeDf7DkEWxZv7TNzvBIyu3PHQc11l9rWlaZIsd/qdlaSMNyrPOsZI9QCaGCL1Fcn8QpY5vh1qksTrJG8KsrochgWXBB7imp4nUXkekfZG+zm3EJvN/yifyt/l7cf3Oc59qTej8hpXt5nXUV4rMlvJ8M/BiXdnPeW7X5ElvbgmSRcyZVQCDk/WrVhDpdt4t0SPw/our+Hp5bj98+oiSNLiMDLRgMzbie3Sqt71vOxN9L+Vz2CiuX8d6BpmseHLy5v7bzprK1mkt28xl2NtznAIz90dc9KZ4B0DTNJ8NWd3ZW3lT31pDJcv5jNvbbnOCSByx6Y60lrcb0sdXRXlvjDwF4Z01dHa003y2utVgt5j58h3RtncOW4z6jmuqfwxo/hvw1rS6RZ/ZhPayGT9677sI2PvE+ppN2i5Dt7yXc6iivEdF8LfatEsp/+Fb/bfMhVvtP9ueX5uR97bn5c+leyabax2Wl2trDB9njiiVFh3l/LAH3dx649apqxKZaoory7x5p/9pfEDTrf+w/7Z/4l7N9l+1/Z+jn5t+e3p71N9Uiulz1GiuD8G+FbWz1N76bwd/YlxAP3Mv8AaZud+4ENxnA49fWuUOhf2p4k8Qy/8IZ/bm3UZF8/+1Ps2zp8u3Iz6596fWwulz2eiuM0zSY9J8B6siaF/YzyQzO9r9rNxzswG3ZPUDpXCaL4W+1aJZT/APCt/tvmQq32n+3PL83I+9tz8ufSjrb0Dpc9uorkPEeiX83hTT9O0iGSG3heIXNnDcbZGgA+aNZCeT9SM461zsGm+HtJ1SxuNPj1fwvdC4VWN3DK8NyCf9WzbinPru/pT62F0ueo0UUUhhRRRQAUUVxHxSWJ/Ddks8ElxCdRgDwxAl5F5yq4xyegpNjR29FePxaNaSX9kfCXhTX9G1BLhGa7vA8Uax5+YNuc7gR271o+OoNNuPH1imqaNf6tb/2cxFvYozSBvM4bCsDgc9+9Pt/XS4u56fRXm/g/S2g8Ui50TRdU0bRfs7Lcw6gWXzZP4SqMxOR6/X8avjDwF4Z01dHa003y2utVgt5j58h3RtncOW4z6jmjqvP/ADsC1v5HqVFZGh+GNH8NrMukWf2YTkGT9677sZx94n1Na9ABRXEfFJYn8N2SzwSXEJ1GAPDECXkXnKrjHJ6CuWi0a0kv7I+EvCmv6NqCXCM13eB4o1jz8wbc53Ajt3ojqwlornpc2k3sszyJ4h1KFWYkRpHbFVHoMxE4+pJoi0m9jmR28Q6nKqsCY3jttrD0OIQcH2INefeLrfSrj4kSrq2halq8Q02MpFYIzMjb2+Y7WXjtV7wALePxTqkOlW17pemxW6btMvi3miQn/WBWJwMcdfSiP+f4A/6+Z6RRXm/h3wzp/jfT5Ne8Rede3FxPIsURndEtkVioVVUjB475qAaxqHhrQvF2mQXU1x/ZBjFnPMd7osoGFJ77c/5HFHTzHbW3nY9PorhYvhrox05bj7VeLqzR7zqoun8wPjO7rjH4dO/eq3jxDc+BtJiaaPWGa9t42eNhGt0eQeQSFyeMg8UPTQS11PQ6yptJvZZnkTxDqUKsxIjSO2KqPQZiJx9STXBaN4RjTWbN5fhx9hRJVf7V/bhl8og5Dbd3zcjpWz4u0S51HX4LjULG81TQEtyDZ2c21lmz99l3KWGPQ5HpQwR0kWk3scyO3iHU5VVgTG8dttYehxCDg+xBrVrg/CVtpGneI5LfSby/sIpbcs2i30Ei4IP+sQufzxms298NxSavqFx4s0TVNXMtwxtbizkaSOKH+FQiMGUjv8poA9Oorl/BH2ZNMura01ifUIIbhlRLmJkmthj/AFbbuTjsSBXKt4D8Nf8ACyV0v+zf9DOlm5Mfnyf6zzdu7O7PTtnFPql/W1w6N/12PQ72wubqZXh1e9s1C4McCQkE+vzxsc/jiq39jX//AEM2q/8Afu1/+M1zvxI0+PU08Pae7vGk+pLHvQ8rlG5H0rO1vVbi98M21jqBA1XT9XtoLoAYD/P8sg9mXB/Oktfvt+X+YP8AT/P/ACPSIUaOFEeV5WVQDI4G5j6nAAz9ABT64S+sl8XeOtQ0nUpp/wCy9Mt4iLOORkWd3GdzYwSB06/1zQ8MXOh6X4qtbHTtK8S6QbtXVLa8TbbSFQWLYdmbIx1H9aFqD0PSqKKztf8A+Rc1T/r0l/8AQDSk7JsaV3Y0aoXthc3UyvDq97ZqFwY4EhIJ9fnjY5/HFePaF4X+16HZXH/Cuft/mRBvtX9t+V5v+1sz8v0rrPHmkWun+CNL0yy0/dbrqEKrZ+cRu3FiU3k5GSSM54zTat94k7nWf2Nf/wDQzar/AN+7X/4zR/Y1/wD9DNqv/fu1/wDjNcLo3hGNNZs3l+HH2FElV/tX9uGXyiDkNt3fNyOlP8dad/afj6xg/sH+2saczfZvtn2bH7z727Pb096Owdzt/wCxr/8A6GbVf+/dr/8AGaP7Gv8A/oZtV/792v8A8ZrnfBXh2PTdUmum8G/2HIItizf2mbneCRldueOg5rLvfDcUmr6hceLNE1TVzLcMbW4s5Gkjih/hUIjBlI7/ACmhgdt/Y1//ANDNqv8A37tf/jNH9jX/AP0M2q/9+7X/AOM1n+CPs0emXVtaaxPqEENwVRLmJkmth/zzbdycdiQK6igEVrK2mtYTHNfXF4xbPmTrGGA9PkVRj8M81ZoooAKKKKACiiqmp6baaxps9hfRCW3nXa6n+Y9COoNDBFuivNhf6/Av/CBgOdRI2xamTx9j5/eeu8AbceuOa73StLtNG0yDT7GIR28C7VHr6k+pJ5NPzDyLlFFFIAooooAKKKKACiiigAorkb3/AJKrpf8A2DJv/QxXXULVX/rcOtgooooAKKKKACiiigAooooA1vEP/H1af9c3/wDZK82fwhrsGrajeaT4r+wRX05neH+zklwcAfeZvb2r0nxD/wAfVp/1zf8A9krz++8e6da6hPZWlhqmqy252znTrXzViPoxyOaXUfQt2ei6uNJ1Cy1bX/7Ra6jMccn2NIfKBUg8Kfm6/pWPZeEfFen2UNna+OPLt4EEcaf2TEdqjoMls1tQeK7C98Oyazp0V3fxRna1vbQ7pw2QCuzjkZz9Oaxv+FlW32z7H/wjPiX7Vs8zyfsA37M43bd2cZ4zT6i6GleeFZNXk0j+2b9b+CwBeWFrYKtzLjAdgDgAf3cUmr+BdB1HTJra206zsLhgDFdW1siPEwOQQQAeo6ZqyfFFtHa6VNPY39u2pXAt4oZ4gkkbHP3wTwOO2eoq3rOs2+h2sNxcpK6SzpAoiAJ3OcAnJHFH+f4hcxr7wlezXseqafrsun6sYFhubiOBXjuNo6mNjgH054qTSfCtzbawmr6xrU+q38UbRQsYlhjjVuuEXufXNSa54vt9D1SHTjpmqX1zLD5wSxtxKQuccjcD19qfo3in+2b0239g65Y4Qv5t9Z+VGcY4zk880LyB9mZX/CH6/a6lqNzpXiz7DDe3LXDQ/wBnRy4Y/wC0zew9K6DRLHVbC3lTVtZ/tSVnykn2VYNgx0wvX61gn4iWzT3Edt4e8Q3a28zwvLbWQkTcpwcENXQ6Jrdlr+nC9sXYx7ijq6lXjcdVYdiKFtoD31NGsjWtD/ti50qb7R5P2C8W6xs3eZgEbeox1681r1k+IvENt4a05L26guZ1eVYVjtkDOWbOMAkelF7Ba+g3XdDOsyaZItyIJLC8S6UmPeHwCCvUYznrWfrvhjUtR1+DWNL13+zLiK2Nuf8ARFm3KW3H7xwO3aoF8e7mC/8ACJeKhk4ydO4H/j1Xdc8YW+h6nDpx0zVL65lh84JY24lIXOORuB60f1+H+QDtG0jxFZX3m6n4o/tK32EeR/Z8cPPY7lOePSugrA0bxT/bN6bb+wdcscIX82+s/KjOMcZyeeaoT+P7ePULyzg0DX71rSYwySWlmJE3D3DfzoA2vEejf8JB4fvNK8/7P9oUL5uzdtwQemRnp61mDweo8I/2Mb5vtXmef9u8obvO3bg+3P4Yz04q/pniGLUNMuL+exv9Mhtyd41GDyWwBksBk8e/tWIfiVpYT7QdK1saeT/yEDYnyNv97dnOPwpWWqGTWngj7Lo/h+w/tDd/ZF19p3+TjzeW+XG75fvdeelauu6GdZk0yRbkQSWF4l0pMe8PgEFeoxnPWtS3niureO4gkWSGVQ6OpyGUjIIqSqbd9e9/mSkraGF4n0XU9csxaWGtf2bC6PHcL9lWbzVYYxyRt79PWk8L6Hqeg2f2S+1v+0YI40jt0+yLD5KqCMZBJbIx19K3qKS0G9TI1/Q/7cXTh9o8j7HfRXf3N2/Zn5eoxnPX9Kv6ha/btNurTfs8+J4t+M7dwIzjv1qxRQ1dWHd3ucRZeEfFen2UNna+OPLt4EEcaf2TEdqjoMls119jDc29jDFd3X2q4RAJJ/LCeYfXaOB9KsUU7isFY0ug+b4ut9e+048m0a28jy+uWzu3Z/TFbNFLrcAri/8AhD9ftdS1G50rxZ9hhvblrhof7Ojlwx/2mb2HpXaUUdbgYVno+q/2LfWGra5/aMtyjIk/2RYfLDLj7qnn1rFsvCPivT7KGztfHHl28CCONP7JiO1R0GS2a7eigDntS8MPq+lWMd3qcw1SyIki1GFBGwkxgnaOMHuKzj4M1XUZIk8QeKZ9RsopFlFtHaR24dlORuK5JHtXZUUdbh0sFFFFABRRRQAVkeINE/t23s4vtHkfZryK6zs3bthzt6jGfWtes7W9c0/w/p7XuozeXFkKoAyzseiqO5o21DfQ0ayJNE3+LIdd+0Y8uza18nZ1y27duz+mKzLHx7p11qNvZXen6rpclydtu2oWvlLK3opyeak1rxnHol3cQzaDrtxFAu97m2s98OMZJ3bh07/Q0bahvodNWRr+h/24unD7R5H2O+iu/ubt+zPy9RjOev6VQ0TxpFrt1BFDoWuQRTrvS6ubQLDjGQdwY9e1auj61ba3BcTWySotvcyWziQAEshwSME8U7NMLli91Cy02ETX95b2sRbaHnlVFJ9Mk9eDVD/hLPDf/QwaV/4Gx/40Q+I7OdNYdY5wNKdknyo+Yqu47eeePXFYcPxFiuYEng8LeKJYZFDJImnhlYHoQQ3IqQNTUrSx8X2NqbDVbeSK1vY5zJAyzKShzsyDwTkf4V0Fc/qvi220jStPvp9O1J2vnWOK1jgBnDEE7ShI546DNVrHx3Y3WowWN3pesaXJcNsgbULTylkb+6Dk80/JB5mlHofl+LZ9d+0Z82zW18nZ0w27duz+mKRdDKeLn11bkASWYtXgMfXDbg27P4YxWxRR/X9feBx8ngvULO8uZfDviSfSbe5cyy2xtknjDnqUDH5c+1aGmeENPsdDu9MnaW9+3FmvJ52y8zHqSe3t6fXmqM/xAto9RvLK30HXr1rSUwyyWlmJEDD3DfzrQ07xQl/YX15JpGrWEdnGZGW9tvKaQAEnZzz0/UUtOXy/QevN5/qYw8DawLP+yx4xvf7Hx5f2cW6eb5f93zevTjp07Vp614SS/wDD1jpOm3Q05bKWOWCQRebt2dOCRn1yaz4fiLFcwJPB4W8USwyKGSRNPDKwPQghuRWvqnim30jQrXVbmw1DbcuiJbLCPPDP0UqSOe2M035iRQg0DxfHcRPN4382JXBeP+yol3jPIyDxn1qfV/Cs91q51fR9Ym0nUHjEUzrEsqSqOm5G4yPWobbxx9puoYP+EW8TReY4TzJdP2ouTjLHdwB3q7rniyw0O6is2gvL2+lXetpYwGWXb/exxgfjQ+gIr6T4VubbWE1fWdan1W/ijaKFjEsMcat1wi9z65qp/wAIbqmnzTDw94nm0y0mkMptXtEuFRjydpb7o9q09C8W6fr11NZxw3dnfQrve0vYfKlC/wB7HPH4963qLAYvh7w6mgx3TteT3l7eSebc3M2Mu2MDAHAA7CuePgrxKda/tb/hNP8ATBD9nEn9lx/6vdu243Y698Zru6KOtw6WMfWtDOr3GkzG58o6fdrdY8vd5mARt6jHXrzWd4l8FxeINTsdQjvWtJrd0Mu1NwnRW3KpGRyDnB9zXU0Uf8OBzut+Fm1DU49X03U59L1RI/KM8SCRZE64dDw2O3/6sUoPCL2uq2ev6vr8t5eWJdnmmRY4hGUYEBQdqDnJPPSuvooWmwPXcx/+Es8N/wDQwaV/4Gx/40PqWkeIbS702w1eynlmgdSIJ0lZQRjdtB6DIrYooaTVmCbTujP0LTP7F0Ky0zzvO+zRCPzNu3djvjJx+dU/FOgS+ItNhtoL77FNDcpcJN5Ikwy5x8pIrcooeruwWisjk4NA8Xx3ETzeN/NiVwXj/sqJd4zyMg8Z9ak13wxqWo6/BrGl67/ZlxFbG3P+iLNuUtuP3jgdu1dRRQBz+j6R4isr7zdU8Uf2lb7CPI/s+OHnsdynPHpWd/whuqafNMPD3iebTLSaQym1e0S4VGPJ2lvuj2rsaKAOd0vTtP8AB9rc3Oo6uHnvZg9xeX0qx+Y+OAM4AGAcCrX/AAlnhv8A6GDSv/A2P/GtiigCtZahZalCZrC8t7qINtLwSq6g9cZB68j86s0UUAFFFFABRRVTU77+zNNnvTbXFysK72it1DOR3wCRn160N2BalF9B3eMY/EH2nGyyNp5Hl9fn3bt2fwxitmsyPX9Nl8PDXRcAaf5PnGQ9h3GPXtj14qfS9QGq6ZBfLbXFssy71juFCuB2JAJxnr1p2tp2C99e5cooopAFFFFABRRRQAUUUUAcxr/hjUdT1y11bTNc/sy4ggaDP2RZtwJyfvHA/KpdJ0fxJZ6gk2peKv7QtgCGt/7Oji3HHB3Kc8Voy6zbxeILfRmSU3M8DTqwA2BVOCCc5zz6Vo0LRaA9WFFFFABRRRQAUUUUAFFFFAGt4i/4+bT/AK5v/wCyV5R4G1zSdD0i40fVr23sNStbqU3C3UgjMhZiQ43YByMdPSvV/EP/AB9Wn/XN/wD2SubvdG0rUpFkv9Ms7p1GFaeBXIHtkUdQ6WOY8Dut/rfiXWbMMNLvLlBbsVKiRkXDuB6E9/apm/5K8n/YDP8A6OrrY40hjWOJFSNRhVUYAHoBUf2S2+2fbPs8X2rZ5fnbBv2Zzt3dcZ5xT2a8v8rB0fn/AJ3OP+Idr9uk8N2vnz2/m6oi+bbvskTKtyp7GsfxX4U/siz0+6/t/Xb3Go26+Te3nmR8v1xgc16RPaW1y0TT28UrQv5kRkQMUb+8M9D7ii4tbe8RUubeKdFYOqyoGAYdCM9x60lp99/y/wAgev3f5nn3i6Gyn+Itil9rdxo8P9mMRcwXYt2J8z7u49j6e1bnheHR7W+lSx8X3WszSJ/qbjUkuNoB6hR0+tbt9oulanIsl/plldyKNqtPAshA9ASKbZ6Do+nT+fY6TY2s2NvmQW6I2PTIFEdFb1CWrOA8MaR4ivodXl0vxP8A2bb/ANqXK+R9gjl+bdydzHPNb/w5ATw/dxyKPtkd/Ol3LknzpQ3L89MjHHtXVW9pbWiuttbxQq7mRxGgUMx6scdSfWi3s7a1MptreGEzOZJTGgXex6scdT7mhafdb8gev3/5k1cV8TovP0DT4fMePzNTgXfGcMuSRkHsa7Wobm0trxFS6t4p1Rw6rKgYKw6EZ7j1otsBgaZ4P/s3UIbz/hI/EN15ZJ8m6vt8bcY+ZdvPWud8XQ2U/wARbFL7W7jR4f7MYi5guxbsT5n3dx7H09q9HqjfaLpWpyLJf6ZZXcijarTwLIQPQEijqg6MwvC8Oj2t9Klj4vutZmkT/U3GpJcbQD1Cjp9a5GytNJuNf8Rtf+L73RZBqcgWGDUktg4wPmKnqe2favSbPQdH06fz7HSbG1mxt8yC3RGx6ZAqOfw1oNzO89xommyzSHc8klojMx9SSOaOtw6WMiJtHg8F6hEmo3fiOyjRxcFbpbmZlI5XcCOg5xkVgLrFjY6CH03xxp81ilviOw1OKORtu37hClX9sEE/WvQLHTbDTI2jsLG2tEc7mW3iWME+pAFVz4e0Q3X2o6Pp5uN27zfsyb8+ucZzQ9QRF4Xu/t3hfTrr7CliJYAwt412qg9h2HcfWteiim3d3ElZWCiiikMKKKKACiiigAooooAKKKKACiiigAooooAKKKKACiiigArivHMiWGseGtYvEY6bZ3T/AGhgpIjLLhHOOcA12tNkjSWNo5EV0YYZWGQR7ijzA4Dx1rela7osGj6RfW99qd3cxfZltpBIYyGBLkr93Az1/wAa6rxPkeEdYBOT9hm/9ANWbLRdK02RpLDTLO1kYYZoIFQke5Aq3LFHPC8M0ayROpV0cZDA9QR3FKSvFpdRp2kn2Mnwl/yJui/9eMP/AKAK4rwt4V/tiPVrr+3tcsf+Jpcr5VjeeVHw3XGDzXpcMMVvCkMMaRxRqFREUBVA6AAdBTLe0trRXW2t4oVdzI4jQKGY9WOOpPrVSd5OX9bkpWikefeHrT7BpHjm1+0XFx5U0q+dcPvkf911Y9zWZ4f0/QZPD2nvP8QtSs5mt0L2ya1HGsRxyoUj5QPSvUlsbNBcBbSBRckmcCMDzSRglv73HHNZ/wDwifhv/oX9K/8AAKP/AAqV+i/Af/B/E5rxsrXlt4UTTNSAaTUY1gvQFm/gbD+jf1qpqmmazp3iHw5Lr2tjWrN79Y0iNqtv5UpB2P8AKfmwfWu+/s2wEVvELK28u1YNAnlLiIjoVGPlP0qS4s7a8EYureGcRuJEEqBtrDowz0I9apaO/nf8hW0t5W/MmorKmuNfWZxBpmmvEGOxn1CRWI7EgQnB9smiK48QGZBNpmmJEWG9k1GRmA7kAwjJ9sj60hnD6H4b/tvX/FE39t6zYeXqbrssLrylbgHJGDk1191p39leC9Qs/tl5ebLWY+deS+ZI2VJ5bArYgtLa2eZ7e3iiaZ98rRoFLt6tjqfc1JJGksbRyIrxuCrKwyGB6gipa9zl8hp+9zeZ5P4f0/QZPD2nvP8AELUrOZrdC9smtRxrEccqFI+UD0re+IDWs/hPSSmoH7K1/bD7akwyF5+cP0z3zXSf8In4b/6F/Sv/AACj/wAKuS6Tps9jHYzafaSWceNlu8KmNcdMKRgVcnf7xLT7jjtMtfD1rqdvPH8Q7+8dXG23n1qORJD0AK9/pUuu3OjxeMcyarcaDqwtQqXsgj8i4jznb8+QSD/un3NdFH4W8PRSLJHoOlo6EMrLZxggjoQcVdvNPstRiEV9Z291GDkJPErgH6EUuwHG6Lrn2jxtBYG70rW2+yOx1G0twskAB+6zBmUg+gI56iu7qnb6fa6ZaSR6XYWlvkFlijQRIzds7Rx9cGqf2nxJ/wBAnSv/AAZyf/GKPILGxRWP9p8Sf9AnSv8AwZyf/GKPtPiT/oE6V/4M5P8A4xQBsUVj/afEn/QJ0r/wZyf/ABij7T4k/wCgTpX/AIM5P/jFAGxRWP8AafEn/QJ0r/wZyf8Axij7T4k/6BOlf+DOT/4xQBsUVj/afEn/AECdK/8ABnJ/8Yo+0+JP+gTpX/gzk/8AjFAGxRWP9p8Sf9AnSv8AwZyf/GKPtPiT/oE6V/4M5P8A4xQBsUVj/afEn/QJ0r/wZyf/ABij7T4k/wCgTpX/AIM5P/jFAGxRWP8AafEn/QJ0r/wZyf8Axij7T4k/6BOlf+DOT/4xQBsUVj/afEn/AECdK/8ABnJ/8Yo+0+JP+gTpX/gzk/8AjFAGxRVaye9khJv7e3gl3cLBO0qkeuSi89eMfjVmgAooooAKKKKAPNZdAhHxEXw+J5Bok0f9qvY/8s/NDFdv+5nDbemRXpVQmztjeC8NvCboJ5Yn2DeFznbu64z2qahbJf1/Vgerv/X9XCiiigAooooAKKKKACiiigDidZv7PTvidpc99dwWsP8AZsq+ZPIEXO8cZNdLaeINGv7gW9lq9hczsCRHDco7HHXgHNPvtG0vU3V9Q02zu3QYVriBZCo9BkUy00DRrC4FxZaRYW06ggSQ2yIwz15AzQtFZg97o0aKKKACiiigAooooAKKKKANbxD/AMfVp/1zf/2SvFrTW9W1CbUXn+IdjpJhvZoY7We2tywRWwDliD+navafEP8Ax9Wn/XN//ZK828N+DbNLfUW1vRLGW4m1CeWN5oY5WMbNleecfSl1+X+QdP68x+g6/qmoeCNR1C6KfabYTrBdRx7UuAi/LKqnsT+HFcRZeNbieyhluviX9muHQGSD+wg/lt3XcFwcetdtoeh6jp/hPW9Ie2KAy3K2KeYpDRMDsA54HPQ4qlouo+M9I0Sy07/hCfN+ywrF5n9qwruwMZxg4/On1+SDp82aWsa3qWnaZoun6dNFfaxqZEcVzNHsQgLueUoOnHOPf2wc17zWtE1FUvPHWh3ciuvnWV8kdqVU88FSWzjpkVp65pOra1Y6Tq1rDDZa5YP5yW88m9PmGHjLL6juPT8RzfiLQvEHiyyuhJ4T0zTLraGNy00c085XoqMANucAZY9Ka+L5hZWt5fidZ4wTWF0eW/0jWf7P+xwSzSL9lSbzsLkDLfd6HketN8GLrUujw6hq+tf2h9tgimjj+ypF5ORkjK/e6j06Uvi5tZbRJLDSdG/tA3cEkMrfaki8nK4Bw33up6elJ4MbWotHh0/V9G/s/wCxQRQxyfakl87AwThfu9B1z1pLr/Xf/gA9l/X9dTnzrOuaxrWo248UWXh021w0MNnLbI8sqjo58wjg9tvFdDp6eJ77w/c2t9cQ6fqaSbIb+CNZUlQEEOEJ4yMjBx61k3ieKoWmtL7w3Y+J7fzGaC4eaKEhD0VkZcZHqK0fBWh32jW9/JexW9qLufzorG2ctHbDHQHpk98celEdvkD0ZgmHxmPF66B/wmfWx+2ef/ZcP9/bt2/rnP4Vd8VX2taFo+iWx8RpDc3F6ILnUpLaNV2kMclD8oxx3HStc6XeH4jrq3k/6CNKNuZdw/1nm7sYznp3xio/F+iTa3PoaJaJc28GoLLcpJt2+XtIOQ3Xr05o6L1/X/IHu/T9P8znrXXdXsde0y3h8W2PiaO7nEU1vb28avCneTMZOAO+a6bxfrF1punQWumMP7V1CYW9pkA7SfvOQeyjJ/KqOs+FIbbU9E1DQNJtoJra9U3BtUSEmEghs9AR045NQ6l4V1DxL4rmvb+7vtMs7JBFYNZXCpI5P33yM7QemOCaN18/8v6/4YNn8jS8JapfXUN9pmryrJqunTmKZwoXzUPKSYHABH8q5zxBF4y0Qaew8ZecL2+jtAP7LhXZvz83fOMdOPrV638Jah4d8UWWq6bfajqkU+be/F9cq7rH1VgTjhT25Pp1rW8XaXeaomjCzh8022qwXEvzBdsa5yeSM9eg5p7tP0uG10XND0/WbBZxq2u/2oXI8s/ZEg8vrn7p5zx+Vcg0XjL/AITEaCPGXBsjeed/ZkPHz7du39c5/CvRq85aXxl/wmI14eDeBZGz8n+04efn3bt36Yx+NJfEv66f5h9lnReKta1DTzp2maSkTanqUpiieb7kYUZZyB1wP89qx7+68U+D1h1PU9ah1jTPNWO6Q2iwPCrHG5SvXBPf/wCuNjxVouoagdO1PSXiXU9NlMsSTfckDDDISOmR/nvWPf2vinxgsOmanosOj6Z5qyXTm7Wd5lU52qF6ZI7/AP1iR3+f4f18we3y/Ebr3iXWdL8cMsEnm6NaWcdzd26xqW2MxVnBxn5eDjPQGtqXWLlvHem2EFyrafcafJcFVCkOwYbWDYz0PY4pI9HuT4/vNQltwdPl0xLYOWUhmDklduc9PbFY2i+GdX0nxzCzRiTRLS2litJ943IrsGEZGcnbyAcdMULp8/1/4Fv+GE+vy/T/AINzvqpaxPLa6Jf3ELbZYreR0bAOCFJB5q7VLWIJbrRL+3hXdLLbyIi5AySpAHNTO/K7FxtzK55JYeNbm4sYJbv4lfZbh0Bkg/sIP5Z9NwXB+tdh4s1PVvDvgyxl/t3/AEprqOObUPsifcYkk+XgjgY4HPFdB4UsbnTfCmmWV3H5dxBbqkibgdpHbI4qh450/UdQ0mz/ALLs/tdxbX0Nx5PmrHuCEk8scCrla9vNfmRHa/l+hymjeJJL/WbO1i+JX2t5JVH2f+wvL80ZyV3Y4yO9XvHHiS80rxRaWQ8R/wBiWUloZWl+wi53PuwBjBI4/lWxBr/i+S4iSbwR5UTOA8n9qxNsGeTgDnHpUGvwa9aeNbXWdJ0T+04ksWt3X7UkOCXz1b6enek+n9dBrr/XUg8FaxJq2qTBfGv9txxRZa3/ALK+zbSSMNuwM9+Peu6rn9G1fxFe33lan4X/ALNt9hPn/wBoRzc9htUZ59a6CmxIKKKKQwooooAKKKKACiiigArlfG19qtt/Y1rpOofYZr6/W3ebyVlwpU/wt7geldVXK+NrHVbn+xrrSdP+3TWN+tw8PnLFlQp/ib3I9aOq9V+YdHYzNSn8WeEIE1W+1uDWdPSREuYns0gaNGIG5Sp5OSOtQeOPEt5pXiezs18Sf2LZSWZlaX7CLnc+7AGMEjj+VWNQg8VeL4U0rUNEh0bTmkV7qVrxJ3kVTnaoUcEkDk1Y16312z8aWus6Ton9pwpYNbMv2pIdpL56t7D070dr/wBaf5h3t/WpD4K1iTVtUmC+Nf7bjiiy1v8A2V9m2kkYbdgZ78e9c5feMb1PEWsWt343/sdLa7aKCD+yVuMoO+4L+HNd7o2r+Ir2+8rU/C/9m2+wnz/7Qjm57Daozz61F4W0q903UfEMt3D5aXeoNNAd6nehA54PH40dfl+qDp8/0Kei3t+3hLUtWHib+2UaCR7ab7Atv5bIGz8vfkDqO1cTZeNbieyhluviX9muHQGSD+wg/lt3XcFwcetetaxBLdaJf28K7pZbeREXIGSVIA5rjtF1HxnpGiWWnf8ACE+b9lhWLzP7VhXdgYzjBx+dHV/L9Q6L5/oS+KtW1PTNE8Prb6+ltJd3EcM+pSW8YUqUJLlG4XsccVQtdd1ex17TLeHxbY+Jo7ucRTW9vbxq8Kd5Mxk4A75rZ8QaVf8AiK38OPc6Ug8q9Sa9tZJEkWNNpBBJ4fr2pNZ8KQ22p6JqGgaTbQTW16puDaokJMJBDZ6Ajpxyaa317/5C6fL/ADM/xHrGpL42k0uLxZbaDZpZJMGnghcO5YggF8c49+1WvCOt6nc6/eaXPq1vrtnDAJV1K3hVArk48s7TtJxzxVmfwymoeP7jUNR0y2utPOnpFG06JIBIHJOFOSDg9cU/TPD76N44urjT7GO20i5slDCDaiCZWP8AAD129wMUo9L+f6jl1t5focbfeMLxPEGr21345/sdbe7eKG3/ALJFxlB0O4L+HPpXSWms3g+Huravb+I/7XljjleC7+wi32FV6bCOcHnJHeoLI+K9A1bW/snhX+0Le8vnuI5v7Qii4IAHBye1at4dd8QeDdYtbvQv7PvZYHigg+1pL5mV4O4YA545qdfZ+dh6c/zM220/xw+kQanB4shupXgWdbSbTY0VyVztLKc+2a6bw1rP/CQeHbPVPLETTod6A5CsCQw/MGuZttQ8cJpEGmQeE4bWVIFgW7m1KN1TC43FFGffArp/DejL4f8AD1npayeaYE+aTGNzEksfzJrR21tt0/EhXsr7mrXO+MU1lNHlvtI1n+zjZwyzSJ9lSXzsLkDLfd6H866Kud8YvrL6PLY6Ro39oG8hlhkf7UkXk5XAOG+91P5VnK9tDSNr6jPBi61Lo8OoavrX9ofbYIpo4/sqReTkZIyv3uo9OlYnhfxTq0mu3UOsTCWwub6a1spdir5UkZP7tsAZ3L0J5yuK2/Bja1Fo8On6vov9n/YoIoY5PtSS+dgYJwv3eg9etUNK8KTz+GtX03UojbyXGoz3NvIGDFMsDHIMHggjOPwrSVlNtbf8FfjYhX5bdf8AgE2nXesa0/iayh1T7LNbX3k2s/2dH8lQFJG04Ddxz61jGHxmPF66B/wmfWx+2ef/AGXD/f27dv65z+FbPgXTdasBrE2uW6RXV3d+bmN1ZX+UDcME4BI6HFWzpd4fiOureT/oI0o25l3D/WebuxjOenfGKlKzXp+n+Y76P+uv+Rl+L9Q1jw14Ps3bXP8ATDdpFPqH2RPuMWyfLwRwMcD0rE0bxJJf6zZ2sXxK+1vJKo+z/wBheX5ozkruxxkd66vxzp+o6hpNn/Zdn9ruLa+huPJ81Y9wQknljgVFBr/i+S4iSbwR5UTOA8n9qxNsGeTgDnHpRHe77/5BLb5f5mX4j1jUl8bSaXF4sttBs0skmDTwQuHcsQQC+Oce/arXhHW9TudfvNLn1a312zhgEq6lbwqgVyceWdp2k454qzP4ZTUPH9xqGo6ZbXWnnT0ijadEkAkDknCnJBweuKfpnh99G8cXVxp9jHbaRc2ShhBtRBMrH+AHrt7gYoj0v5/qEutvL9DO8aP4l06/s7jTvEn2a1vr2GzS2+wxv5W4YLbm5bkE4469a2dTk1XQ/At/NNqf2vUra2kkF35Cx5YZIOwZXjgfhWN40TxLqN/Z2+neG/tNrY3sN4lz9ujTzdoyV2tyvJIzz06Vs6nHquueBb+GbTPsmpXNtJGLTz1kwxyAN4wvPB/Gk/4bt/Wn/DlacyMWw8TaofDMlrcXCvrzvFDbylFG/wA9Q0cm0DGFBbPGP3ZrW8B6pfav4YW61G4NxcefLGZCirkKxA4UAVa07w7ZINK1C6tB/alnZpAJN5+TC4IwDtPVueetVvAulXujeGxaX8Pkz/aJX27g3DOSDkEjpVu3M/66ozV+Vf10Z0tef+I9Y1JfG0mlxeLLbQbNLJJg08ELh3LEEAvjnHv2r0CuSn8MpqHj+41DUdMtrrTzp6RRtOiSASByThTkg4PXFT1X9dGV0f8AXUreEdb1O51+80ufVrfXbOGASrqVvCqBXJx5Z2naTjniqvhfxTq0mu3UOsTCWwub6a1spdir5UkZP7tsAZ3L0J5yuK1tM8Pvo3ji6uNPsY7bSLmyUMINqIJlY/wA9dvcDFVdK8KTz+GtX03UojbyXGoz3NvIGDFMsDHIMHggjOPwoT6+T/P/AC2B9vP9P89ybTrvWNafxNZQ6p9lmtr7ybWf7Oj+SoCkjacBu459axjD4zHi9dA/4TPrY/bPP/suH+/t27f1zn8K2fAum61YDWJtct0iuru783Mbqyv8oG4YJwCR0OKtnS7w/EddW8n/AEEaUbcy7h/rPN3YxnPTvjFCVmvT9P8AML6P+uv+RsaZb3lrp8UN/ffbrpQd9x5Qi38/3RwOOPwq3RRQAUUUUAFVNTgu7nTZ4bC8NndMv7qcIr7W7ZDAgj1q3RQ9QRwqeOZl0JrSWAHxSkn2M2IHLTHo/wDuY+bPTHeuu0qC8ttMgi1C8N5dqv72fYqbm74CgAD0rCk0S5b4mw6yLVDZrpphM+VyJd54xnP3e+Paupp9L9/6/wCCD3sFFFFIAooooAKKKKACiiigDnbnU7yP4gWGmJNizlsZJnj2jlwwAOcZ/WuirjfEVvrtt4xsNZ0nRf7Tjis3gdPtSQ4LMD1b6elaGk6x4kvNQSHUvCv9n2xBLXH9oxy7TjgbVGeaI6r7/wA2D0f3fkjoqKKKACiiigAooooAKKKKANbxD/x9Wn/XN/8A2SubvdZ0rTZFjv8AUrO1dhlVnnVCR7ZNdJ4i/wCPm0/65v8A+yV5R4G0PSdc0i41jVrK3v8AUrq6lFw11GJDGVYgIN2QMDHT1o6h0ud79og+zfafOj8jbv8AN3Dbt65z0x71mL4q8OuwVdf0tmY4AF5GST+dcho6LYW/jjRrMsdLs1Y26liwjZ4mLoD6A9vesfR9Ovr7wrZwRfDnTJfOtVVdQkuYAWyv+sI2789+uaL9vL8Q/wCCerXl/Z6dB599dwWsOdvmTyBFz6ZPFUY/FHh+aVIotd0ySR2Cqi3cZLE9ABnk1xnirSLrTfh7oGkyPBdXUV7bQ5mBMTNk4BHUp2+lXNL8L61DqltLe6F4Jjt0kDO9paOJVx3QkYBzTW79RdE/I7Q6hZLfrYNeW4vGXetuZV8wr6hc5xwae11brdraNcRC5dS6wlxvZR1IHXHvXnuu6TNqfxIvJLKTytSs9LiuLN88eYJD8p9mBKn61asNXi1vx/ot9GhjZtLnWWJvvRSBwGQ+4OaS1t8/1/yG9L/L9P8AM6y68Q6LY3DW95rGn286Y3RTXKIwyMjIJz0qxHqVhLYG/jvbZ7IAsbhZVMYA6ndnGBg1x3xB0nTZJdEuX0+0aefWLaKaUwqWkQ5G1jjJGAOD6Vr+K7S2sfh/rFvZ28VvAlnLtihQIq5BJwBx1pN2g5Dt7yRuw3lrcWYu4bmGS2KlhMkgKEDqdw4xTorq3ntVuop4pLdl3rKjgoV9c9MV55pmfDWkDTXLf2ZqunGa0ZjxFP5WXj+jfeHvkVS2LfeGfAWj3bMumXpAuQG2iQquUQn0J/lVNatLy/X/ACJT0T9WejWmuaTfzmCy1SyuZh1jhuEdh+ANX68y8XR2Xhx2uR4Cszp9pJG0WoW94ls5bjHCDfwTj8M16Yp3KD6jNJbXHqnZi1SvNZ0vTpFjvtSs7WRxlVnnVCfoCau9q898C6JpGu6Rc6vqtnb3+pXN1KLlrlBIYyGICDOQMDHTHX6UdQ6XPQEdZEV0YMrDIZTkEVR/t7R/tv2L+1rH7Vu2+R9oTfn025zmuM1P7B4d8D+JrXw3fXDNbP8APHvJFoXIDKhxwAMnGTg1pjwR4U/4RTyf7OtDCbbf9s2DzPu537+vv1x+FJtJN9BpbI6e81Gx06NHvry3tUdtqtPKqBj6DJ5NF7qFlpsAnvry3tYi20STyqik+mSevBrzB2l13wd4HTVA0v2i/EMhfq6YdQT7lQOaj8Sw6ne+E76PVLadE0S18lJZUKi5lMmwSL2I8sdfVzTlpfyFHVo9S/tOw+2x2X262+1yJvSDzV3svqFzkjg80S6lYQX0VlLe20d3KMxwPKokcc8hc5PQ/lXnGoWc9z4xkuLNC99Y6Nb3VsqjJZkc5X/gS7l/GlmjnufGXhzWbu2lt57+/mCRTKVeOFE2opB6H7zY/wBqnbW3n+thJ6X8v0ud9deIdFsbhre81jT7edMboprlEYZGRkE56Vctbu2vrZbizuIriB87ZYXDq2Dg4I461xXxB0nTZJdEuX0+0aefWLaKaUwqWkQ5G1jjJGAOD6V0mqWNla+GLyygnt9ItTC6LKgWJIN2fm7Acn2qfstlW1SJv7f0b7Z9j/tew+1btvk/aU359Nuc5q9LLHBE0ssixxoMs7nAUepNebf8IzBZeHxYah4KtLuFIMPqGmSxtM+B98bwrZ74yfxFaGp2Vn4j8H6Db2OqRyxmSOSGHUZdpvlQcxvjkn1wDyPxpsSOusta0rUpWisdTsrqRRlkgnVyB9Aadfatp2liM6hqFraeZnZ9omWPdjrjJGeorgr+y0ywubC91PwrJoTW90nl3+lyRMgYnAD4AO09Dle/vXVeMdOsr3wvqUt1Z288kFnM0LyxKxjOw8qSODwOnpSbtG44q8rGnY6tpuqeZ/Z+oWl35eN/2eZZNuemcE46Gm3us6Vpsix3+pWdq7DKrPOqEj2yay/BOn2Vn4T0ye1s7eCaezhaZ4olVpDsHLEDk8nr61geBtD0nXNIuNY1ayt7/Urq6lFw11GJDGVYgIN2QMDHT1qpK0muxKd1c7t7u2jtDdvcRLbBN5mLgIF9d3THvSQ3lrcWYu4bmGS2KlhMkgKEDqdw4xXmaIthofj/AEazLHS7NCbdSxYRs8ZLoD6A9veremZ8NaQNNct/Zmq6cZrRmPEU/lZeP6N94e+RUt6Nrsn95SWqX9dD0SCeG6gSe3ljmhkG5JI2DKw9QR1qSuf8Df8AIjaL/wBeqfyroKqSs7Exd1cKKKKQwooooAKq32pWOmRLLf3ttaRs21XnlWME+gJPWrVcb48ghurvwxBcRJNDJqyK8cihlYbW4IPWjqkHRs6Sy1vStSkaOw1OyupFGSsFwrkD6A0X2taVpkix3+p2VpIw3Ks86xkj1AJrjfHmg6PpHh8atptjbWGo2k8TW0lrGsTMxcDb8uM5BNV/Flhe6l8Q7CGys9JuZv7MZjHqsZeIDzOSAP4v/r0en9aXD+vxsdxZa7pGpTmCx1Wxupgu4xwXCO2PXAPSo5/Eug207wXGt6bFNGdrxyXaKyn0IJ4rI8LaFqOm3s0+o6V4Ztcx7Y5NJt2R+vIYsOlcfY6Lqup+I/Eslhpnhq7RNRdWbV4GkcHHRSB0o62Dpc9NtdZ0u+imls9Ss7iOEZleGdXEY9WIPHQ9fSqv/CWeG/8AoYNK/wDA2P8AxrNj0ptL8FamLjT9JtL2S1m84aXD5cTYVtvUAnj1964/w/4Z1+58PafPBongmWGS3RkkurSRpWBHBcgct60dX8g6Hps+s6Xa2kV3calZw202PKmknVUfIyMMTg8elNstb0nUpTFYapZXUgGSkFwjkD1wDXG+PrdoNP8ADFvHpdtdsmoRqLFNqRSHY3yDcMBfqKyZbWX/AISrw6LrwlbeGB9sBS5tZI5DKwBPlHywAA3TnNNau3nYT0V/K56Pe67pGnT+RfarY2sxXd5c9wiNj1wT0qey1Cy1KEzWN5b3UQOC8EquoPpkGvPPEEc0nxNnEPhm219hpkeYJ5I0Efzn5hvBGe3HrU/gyAr461VptJj0KdbOMf2bCVZHUt/rdy/KT24HelHX8RvT8DsZ/Eug207wXGt6bFNGdrxyXaKyn0IJ4qeDWdLubOW8t9Ss5bWHPmzRzqyJgZOWBwOPWvM7LRNW1PX/ABHLYaZ4Zu411ORWfVrd5JAcDhSB93+ua6PUNNuNM+GmtxXdlpNpcNbTM6aXEY4j8vBwRnOKV/c5vK47e9bzOih8TaDczLDBremyyucKiXcbMx9gDUt7pFtqEyyzS3qsq7QIL6aEY+iOAT79a5618I+GrzwhbfadIsI/MskaSdYER1+QEtuAznvmrXw+ubi78C6XLcuzybGQOxyWVWIU/kBVNWbXYlO6T7l7/hGbD/n41X/wbXX/AMcq/HNa20kOni5Xz/LykUk26RlHG75iWb3JzVmuRvf+Sq6X/wBgyb/0MUuqX9bMfS/9bnXVlz+JdBtp3guNb02KaM7Xjku0VlPoQTxWpXk1lomranr/AIjlsNM8M3ca6nIrPq1u8kgOBwpA+7/XNLrb+ug+lz0+y1Kx1OJpbC9t7uNW2s8EqyAH0JB60p1CyW/Wwa8txeMu9bcyr5hX1C5zjg1laJbPoGgTS6na6RYtGXlm/syIxw7QOuCM5wK8ofxNok0E3iR9RA8TC+F1DCYpMCJflEG7bjBTOeeuKel7C1tc9ylljgiaWWRY40GWdzgKPUmqllrWlalK0VjqdldSKMskE6uQPoDXN+JobbxdoOkG0vrQLcTR3MVrcybFvABkxnHPfsDjHSsi/stMsLmwvdT8KyaE1vdJ5d/pckTIGJwA+ADtPQ5Xv70Lez9BNq10d3fa1pWmSLHf6nZWkjDcqzzrGSPUAmm2Wu6RqU5gsdVsbqYLuMcFwjtj1wD0riPF1he6l8RbGCxtNJuphpjMY9VjLxY8zqAB97/69bnhbQtR029mn1HSvDNrmPbHJpNuyP15DFh0ojqrvzHLRnV02SRIo2kkdUjQFmZjgKB1JNOrO1//AJFzVP8Ar0l/9ANKTsmxxV2kQf8ACWeG/wDoYNK/8DY/8aj1BtBvLWPVLrVzFasNiTw6rJBE3J7o4Unr78e1ef8Ahvw1r114b0+e30TwVNDJCrJJeWjtMw9XIGCa6D4g2CQeFdLsrK0so/8AiYwKkBjxBuJPBUfwknmnJW08xJ3+4vRt4QmlSKLxK0kjsFVF8RTEsT0AHncmt241XSNFWK1vdUtbVgg2Ld3QDso4zlzlvqc1yel+F9ah1S2lvdC8Ex26SBne0tHEq47oSMA5qr4usL3UviLYwWNppN1MNMZjHqsZeLHmdQAPvf8A16Oy/rYO529lrukalOYLHVbG6mC7jHBcI7Y9cA9Kde63pWmyiK/1OytZGGQk9wqEj6E1heF9C1HTb2afUdK8M2uY9scmk27I/XkMWHSsS18PrHealfpo2leKoL26eVbrz0MsY6eXhwV+XpwwoA9EjkjmjWSJ1eNhlWU5BHsadXKeB10y3t9SsdNivrUwXRM1leFSbdmGcJjI2nqOTXV0AgooooAKKKKACobq7trG3a4vLiK3gTG6SZwijPAyTxU1RXNtDeW0ttcRLLDKpR0YZDA9QaH5Ah4kRohKrqYyu4MDwR659Kjtby2v7dbizuYbiBs7ZIXDqccHBHFebm11iG//AOFepOBYSL5yXu/Mq2WSDFj+9n5c+h6V6Ra2sFlaRWttEsUEShERRgKB2p+f9f1/wQ8iaiiikAUUUUAFFFFABRRRQBC11brdraNcRC5dS6wlxvZR1IHXHvU1cje/8lV0v/sGTf8AoYrrqFqr/wBbg97f1sFFFFABRRRQAUUUUAFFFFAGt4h/4+rT/rm//slef33gLTrrUJ720v8AVNKluDunGnXXlLKfVhg816B4h/4+rT/rm/8A7JXnMvjLU7u9u4vD/hqbVILSUwS3DXSQL5g6hQ2S2KXUfQ2LDwzpumaDNo9nG0VvMjrIwbLuWGCxJ6tV3TNPi0rS7XT4GdobaJYkLkFiAMDOAOapeHfEMPiGylmS3mtp4JTDcW0ww8TjqD+fWsqbxzFF4sGkCxdrMTraPqAk+RbhlJEe3HPTGc9arW9u/wDX6k9L9jX8Q+H7fxHp8dnc3FzbrHMsySWzhHVlzjBIOOtZMHgXyLiKb/hKvE8nluG2SahlWwc4I28itXxDrf8AYNlb3P2fz/Ouorfbv243nGeh6ela9Jd0N9mZyaLbR+IpdbDy/aZbZbZlJGzaG3ZxjOc+9Urfwjptr4rl8RQGZLuVCjxhh5RJxlsYzk4Hequu+J9S07X4NH0vQv7TuJbY3B/0tYdqhtp+8MHt3qzo2reIb29MWqeGP7NtwhIn+3xzZbjC7VGfXn2oXdef/BB+ZV13wNba/qH2u51rWocOskcEF0FiidRgMqlTg98+pNaX/CPwt4Zl0Oe+vrmGWN4nuLiUPMQ2f4iOozgcdhWNL4y1O7vbuLw/4am1SC0lMEtw10kC+YOoUNktitjw74hh8Q2UsyW81tPBKYbi2mGHicdQfz60JXVugN63DUfDVhqvh1NEuvMNukaIkgYCRCowGBxgHj0qN/CelT+GbfQLmJ7izt0VYzI2HUr0YMMYP0rcooeoLQ49vhzpdxDLFf6hq+ohkKxG9u/N8jPGUBGAfcg114GFAHYYrOOrZ8SLo8UO8i2NxPLvx5Y3bVGMcknd3GNtaVHQOoVy194D0651Ge+tL7VNLluDunGn3RiWU+rDB5+mK6msjw9rn9vW13N9n8j7PeS2uN+7dsON3QYz6UdQvZDtM8OaVpOjtpVrar9lkB81ZPmMpYYYsT1JrB/4VppO37ONR1kaduz/AGcL0/Z8ZzjbjOM+9alr4pgkXXpbmEwQaRM0cjht28BQxbGBj6c1jf8ACca39iGqf8IbdnSCvm+eLuMy+X/e8rr056/jRfr/AF5D8jo73w/Y3o0tSHhj0ydZreOHCqCoICkY6YPQYqbW9It9e0e50y6eVILhQrtEQGHIPGQR29Kyta8WLYeHrHVtOs/7QW+lijgj83yt3mdOSDj8agtte8XS3UMc/gnyIWcB5f7VibYpPLYA5x6UWvdMS0s0a9toNra622rJJMZzaJabWYbdinIOMZz+P4U7UdDttS1LTb+Z5ll0+RpIghAViwwd2R/LFaVFDfULHLa74Gttf1D7Xc61rUOHWSOCC6CxROowGVSpwe+fUmte10WCHQ/7Jup7nUYGVkke+k8x5AxJwzcZ64H0FctqPjXxNpf2f7X4K8tbidbeE/2rGd8jfdHCnGcdTxXSaHqGsX6zHV9C/sooR5Y+1pP5nXP3Rxjj86Erq3QHozE/4VxYBPs41rXhY42/YRfnydv93GM4/Gti+8KaPf6Nb6U9sY7a2wbcxMVeEjoVbrn/ACazJvHMUXiwaQLF2sxOto+oCT5FuGUkR7cc9MZz1rX8Q6vcaHpv2+LT2vIImBuQkm144+7gYO7HXGRR0v8A1/X/AA4dbGTb+ANPW6hnv9T1jVVhcSRQ6heGSNGHQ4wOfrWl4i8Nx+I4I4ZtT1KziUMrpZT+WJQ2AQ4wdw4/U1BeeK4Bc6bZ6TEupXd+BKiJJtVIe8rtg4HpxyeK6GhrTUE9boxPDvhqLw3DJDDqep3cTKqol7OJFiC5wEAA2jn9BVC+8BaddahPe2l/qmlS3B3TjTrryllPqwwea6qih6u4LQw4PCWlWvhq40G2jkhtblGWV1bMjFhgsWOct9ak1Hw1Yar4dTRLrzDbpGiJIGAkQqMBgcYB49K2KKHruC0KelabDo+k2unW7SNDbRiNGkILED1wB/KrlFFDdwWgUUUUAFFFFABWN4i8N23iSC2jnu7y1a2mE0UtpIEdWAI6kH17Vs1j+IvEEPh6xime3luZ7iUQW9vEPmlkPQZ7DjrSYGbZ+A7C3v4by91HVtVe3bfCuo3fmrG394DA5+tWNc8IW+uapDqJ1PVLG5ih8kPY3AiJXOeTtJ6+9UY/GWpWd9aw+IPDU+lwXUohiuVuknQOegbb93NbfiLXI/D2jS37xGeQFY4YFODLIxwqjr1+lN7B1KmjeFf7HvvtX9v67ffIV8q9vPNj574wOavaVodtpFzqE9u8zNf3BuJRIQQGIxhcAcfXNQ+G9dHiDTGuWtmtbmGZ4Li2ZtxikU8rnAz2P40uj63/AGte6tbfZ/K/s+6+z7t+7zOAc9Bjr05o6/1sLoaN5bJe2U9pIWEc8bRsV6gEYOK5GH4dRW0CQQeKfFEUMahUjTUAqqB0AAXgV1moXX2HTbq72b/IieXZnG7aCcZ7dK5Cy8XeK9Qsoby18D+ZbzoJI3/taIblPQ4K5pdSuhvS+G7a4g0mKe7vJm0yZZ4pZJAzyMoI+ckc9e2Kn1bRbfWGsWnkmjeyuVuYmiIB3Lng5B4Oeapar4lbRdEtLu906X7fdMkUdhE4djMw+5u6YHrWdH4y1KzvrWHxB4an0uC6lEMVyt0k6Bz0Dbfu5quvz/Enp8vwN9NFto/EUuth5ftMtstsykjZtDbs4xnOfekGi248RnXFkmFy1sLZkBGxlDbgSMZzn3rSopDORn8AW8moXl5Br+v2TXcxmkjtLwRpuPsF/nV+DwpDFoV9pM+q6rew3qlXlu7gSSICMYUkcfka1768h07T7i9uG2w28bSOfYDJpumXU19pdrdz2/2eWaJZGh37tmRnGcDn8KLaWDrc5ZfhvZGJbe417xDdWYAU2s1/mJlH8JAUcfSuglv7DREhsltrtY0jAjS1sJpUVRwBlEIHTp1rTrI1rXP7HudKh+z+d9vvFtc79vl5BO7oc9OnFO72DTcT/hJrD/n31X/wU3X/AMbqnrHha18SXdpqo1HVrCeOHYjWknkPtY5wwZdwPscfSrviHW/7Bsre5+z+f511Fb7d+3G84z0PT0qlrfimew1aPR9K0ibVNSaLz2iWVYkSPOMs7cde1TowHaT4S/snUEu/+Eg1682gjyby98yM5GOVwKpz+ALeTULy8g1/X7JruYzSR2l4I03H2C/zq1oniqa/1aTSNV0ibStSWLzlieRZUkTOMq44OO9Z/wDwmGv3WpajbaV4T+3Q2Vy1u039oxxZYf7LL7j1p9QL/wDwhkD6HcaRdazrN3b3EivI9zch3IGPkBK8KccgfnXRJDHHCsKRqsSrsVAOAOmMelZ+iXuqX1rJJquj/wBlzK+Fi+0rPuXA+bK9O/HtWnQwRzI8C6P/AGIdJb7Q1slw1xbkyYe1YnOI2ABABz1z1qG38Aaet1DPf6nrGqrC4kih1C8MkaMOhxgc/WtTXdR1mwEH9kaF/apfd5g+1pB5eMY+8Oc8/lXO6d418S6pJcLa+C94trhrac/2pGNjrjcOVGcZ7cULfQHtqbGueELfXNUh1E6nqljcxQ+SHsbgRErnPJ2k9fek0zwyug3L37a9r9+qRsDDd3JnXHXIQLktxxjmr3iLXI/D+jSX7xGaQFUhgVsGWRjhVB56n2pnhvXR4g0xrlrZrW5hmeC4tmbcYpFPK5wM9j+NC8gfmH/CTWH/AD76r/4Kbr/43ThfWWuwXOnrHfxrLCyu0tjND8pGDhpEAzz0qraeKI/7V1DTdVgXTri0UzKXl3JNB/z0VsDpzkdqs+Htal16zkvvsLW1m7kWryP88yf3yuBtB7cnI5osmgvZlvStNh0fSbXTrdpGhtoxGjSEFiB64A/lVXxD4ft/Eenx2dzcXNuscyzJJbOEdWXOMEg461rUUPXcFpscnB4F8i4im/4SrxPJ5bhtkmoZVsHOCNvIq1rnhC31zVIdROp6pY3MUPkh7G4ERK5zydpPX3roqKAOf0bwr/Y999q/t/Xb75CvlXt55sfPfGBzVS68A6fLeT3NjqWr6UZ3MksenXZiR2PViuDz9K6uigDCsNN0rwfp7i3hu3E0u6WRYpbmWVyPvNtBPbrjH51L/wAJNYf8++q/+Cm6/wDjdbFFAFayvor+EywpcKobbie3khbP+66g4564xVmiigAooooAKKKqancXdpps9xY2YvLiNdyW5l8vzPYHB59OKG7AtSu2h2zeJU10vN9qS1NqEyNm3duzjGc596065+Pxfpr+ET4iLFbdUy0R++JOnl4/vbuK1NKubu80yC5vrMWVxIu5rfzPM2Z6AnA5x14p26dgv1LlFFFIAooooAKKKKACiiigDntd8I2+u6lb37alqdjcwRGJXsZxESpOTk7SaTSfCX9k6gl3/wAJBr15tBHk3l75kZyMcrgVd8Ra5H4e0aW/eIzyArHDApwZZGOFUdev0pnhvXR4g0xrlrZrW5hmeC4tmbcYpFPK5wM9j+NC8gfmbFFFFABRRRQAUUUUAFFFFAGt4h/4+rT/AK5v/wCyV41c6x4dstQvP7Vk1XwtqRnYyLaSSGO49JAApRs+u3869l8Q/wDH1af9c3/9krJpdQ6Hn+neLNQs/C+sapem4ubeKXy9LluYBFLc7hhRtAGRuxyByM1lxeEPGx8KyaQy+Hwk7m4eR3m+0eaTu3bhxvBxz04r1SimCPMdd8RLqnw80+/vcw3FrqUEd8hHMciN8+QPzx710CfE/wAHSSLGmsZZiAB9mm5J/wCAV11FHX+vIVux5h46/wCEb/4T6x/4Sj/jw/s5tv8ArPv+Zx/q+emfatTwXc+AY9Vlg8Kvi8liy64n5QH/AKacd67uiiOisN6nmFzrHh2y1C8/tWTVfC2pGdjItpJIY7j0kAClGz67fzrpfBOpanqdtfSXj3E1ks+LG5uYBFJNHjqVAAxnocDNdVRQtED1dwpCQqlmIAAySe1LVe/s11DT7izaWWJZ42jZ4iAygjBwSDz+FJ3toNb6mH4RBvY77Xn5bU5y8RI5ECfLGPxALf8AAq6SorW2is7SG1gQJDCgjRR2UDAFS1Tt0EvMK850bxNp3gu41fS9faazkfUJrmCQwOyTI5yCpUGvRqKXW4aWOC8PfapdD8S6wNHe5TUbp5rexuPkaeLaBzkHqM8YrFHiHw3aWuzSdc1/TL9Y8R6WqSTbHxwgSRWXr2BA+ler0UrdvL8A9TzXxhPNc/DvRJ/EkXlO95bm9TaVwvO7IHIOOw5FVtIufhPaavaTaa+y+WUCA4uj854H3uO/evU6KpPVvzF0sFFFFIZyHj7/AFfh3/sOW3/s1bPiXWk0DQLm/K75FXbDGOskh4VR+Na1FHS39dB31ueVxeEPGx8KyaQy+Hwk7m4eR3m+0eaTu3bhxvBxz04roLXxwp8HQ3c8Jk1hnNkbED53uhwVx2H8R9Aa7Sijy/r+rfoLzPNdD0+X4daikupi3ay1Yqs9zFGFW0uCSQntEc4B7Edq9Koop3AKKKKQBRRRQAUUUUAFFFFABRRRQAVzPjSa2h0+2a/0eXULATAzSwMRJa46SKF+bj1BBFdNRSY0eWL4khNzbQ+D9f1jVbp50ElncxNLGI8/MWd0DKMd9xrR19tZ8R+M4oNCSweLQiJJGvi/lNOw4Hy8kqOfYk16FRTF3POtNk13w342WfX005bbXSIS1gX8tZ1HyE7+hYZHHXj0qLSvGGheHPEfieDVr77PLLqJdF8l3yNoGflU16VRR/w35Acw/ibSPEnhjWpNJu/tCw2sgkPlumCUbH3gPSvONF/4VT/Yll/an/H/AOSv2j/j6+/jn7vHX04r26ijqHQ47xBf6XL4a0y5Gky6lojMjefAXWS1UD5ZVGN/HqCCK51fEkJubaHwfr+sardPOgks7mJpYxHn5izugZRjvuNep0Udbia0sFFZU1vr7TOYNT01Iix2K+nyMwHYEiYZPvgURW/iATIZtT0x4gw3qmnSKxHcAmY4Pvg/SgZn+Kj/AGhPpmgKQft8++4H/TCPDPn6nav410vQYFUV0uAa2+rFpHuGgFuoYjaiA7jt4zknGeewqW9S9khAsLi3gl3ctPA0q49MB156c5o6B1LNcj48jnit9I1SK2luI9N1CO4njhXc/lgEEgd8ZrW+zeJP+gtpX/gsk/8Aj9X7JL6OFhf3FvPLu4aCBolA9MF25685/CjzDyZwOt+J9N8Ztpmk6A015N9uhmmcQOqwIhySxYCrviu/0iz19X1yzvdPjEAFvrVnJICeeY28sZHsDkfSu6oo9P66AcD4X1y4v/EsdvpGp6hq2hiBjNcXkAURyfwhX2qWPsRXLH/hAv8AhJPEP/CV/wDH5/aMnlf6/wC5x/zz4656817PRR1Doc54MufDUukPD4WfNjDKQwxJw55P+s5ro6rXqXskIFhcW8Eu7lp4GlXHpgOvPTnNUPs3iT/oLaV/4LJP/j9DdwsbFch4E/1nib/sOXH/ALLXTWSX0cLC/uLeeXdw0EDRKB6YLtz15z+FWaFo/wCvIOljz3X21nxH4zig0JLB4tCIkka+L+U07DgfLySo59iTTNOk13w342WfX105LbXCIi1gX8tZ1HyE7+hYZHHXj0r0Wihaf1/X9WB6nnHiLT5PiJfywacYEstJ3BLuSPcJ7jH+rB/55jjce57Gus8M67HrVgyND9lvrRvIu7Q9YXHp/snsfStuq16l7JCBYXFvBLu5aeBpVx6YDrz05zQtFYHqyzRWP9m8Sf8AQW0r/wAFkn/x+j7N4k/6C2lf+CyT/wCP0AbFFY/2bxJ/0FtK/wDBZJ/8fo+zeJP+gtpX/gsk/wDj9AGxRWP9m8Sf9BbSv/BZJ/8AH6Ps3iT/AKC2lf8Agsk/+P0AbFFY/wBm8Sf9BbSv/BZJ/wDH6Ps3iT/oLaV/4LJP/j9AGxRVayS9jhIv7i3nl3cNBA0SgemC7c9ec/hVmgAooooAKKKKAPPJtEsv+FuxwbG+zSWv9pPb7v3ZuAxQSbemcc/XmvQ6KKFtb+v66A9XcKKKKACiiigAooooAKKKKAPPdfbWfEfjOKDQksHi0IiSRr4v5TTsOB8vJKjn2JNN02TXvDnjZZteTT1ttdIhLWBfy1uFHyE7+hYZHHXj0r0Sihaf1/X9WB6hRRRQAUUUUAFFFFABRRRQBreIf+Pq0/65v/7JWTWt4h/4+rT/AK5v/wCyVk0AFFFFABRRRQAUUUUAFFFFABRRRQAUUUUAFFFFABRRRQAUUUUAFFFFABRRRQAUUUUAFFFFABRRRQAUUUUAFFFFABRRRQAUUUUAFFFFABRRRQAUUUUAFFFFABRRRQAUUUUAFFFFABRRRQAUUUUAFFFFABRRRQAUUUUAFFFFABRRRQAUUUUAFFFFABRRRQAUUUUAFFFFABRRRQAUUUUAFFFFABRRRQAUUUUAFFFFABRRRQAUUUUAFFFFABRRRQAUUUUAFFFFAGt4h/4+rT/rm/8A7JWTWt4h/wCPq0/65v8A+yVk0AFFFFABRRRQAUUUUAFFFFABRRRQAUUUUAFFFFABRRRQAUUUUAFFFFABRRRQAUUUUAFFFFABRRRQAUUUUAFFFFABRRRQAUUUUAFFFFABRRRQAUUUUAFFFFABRRRQAUUUUAFFFFABRRRQAUUUUAFFFFABRRRQAUUUUAFFFFABRRRQAUUUUAFFFFABRRRQAUUUUAFFFFABRRRQAUUUUAFFFFABRRRQAUUUUAFFFFABRRRQAUUUUAFFFFABRRRQAUUUUAFFFFAGt4h/4+rT/rm//slZNdVL9tMpMNxCiYAAaIk9PUMP5U3/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LFFFFABRRRQAUUUUAFFFFABRRRQAUUUUAFFFFABRRRQAUUUUAFFFFABRRRQAUUUUAFFFFABRRRQAUUUUAFFFFABRRRQAUUUUAFFFFABRRRQAUUUUAFFFFABRRRQAUUUUAFFFFABRRRQAUUUUAFFFFABRRRQAUUUUAFFFFABRRRQAUUUUAFFFFABRRRQAUUUUAFFFFABRRRQAUUUUAFFFFABRRRQAUUUUAFFFFABRRRQAUUUUAFFFFABRRRQAUUUUAFFFFABRRRQB//9k=">
          <a:extLst>
            <a:ext uri="{FF2B5EF4-FFF2-40B4-BE49-F238E27FC236}">
              <a16:creationId xmlns:a16="http://schemas.microsoft.com/office/drawing/2014/main" id="{A13A49AF-ED63-4E99-81C8-487B5C11244E}"/>
            </a:ext>
          </a:extLst>
        </xdr:cNvPr>
        <xdr:cNvSpPr>
          <a:spLocks noChangeAspect="1" noChangeArrowheads="1"/>
        </xdr:cNvSpPr>
      </xdr:nvSpPr>
      <xdr:spPr bwMode="auto">
        <a:xfrm>
          <a:off x="5381625" y="571500"/>
          <a:ext cx="304800" cy="306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3</xdr:row>
      <xdr:rowOff>0</xdr:rowOff>
    </xdr:from>
    <xdr:to>
      <xdr:col>2</xdr:col>
      <xdr:colOff>304800</xdr:colOff>
      <xdr:row>4</xdr:row>
      <xdr:rowOff>78275</xdr:rowOff>
    </xdr:to>
    <xdr:sp macro="" textlink="">
      <xdr:nvSpPr>
        <xdr:cNvPr id="3" name="AutoShape 2" descr="data:image/jpeg;base64,/9j/4AAQSkZJRgABAQEAYABgAAD/2wBDAAgGBgcGBQgHBwcJCQgKDBQNDAsLDBkSEw8UHRofHh0aHBwgJC4nICIsIxwcKDcpLDAxNDQ0Hyc5PTgyPC4zNDL/2wBDAQkJCQwLDBgNDRgyIRwhMjIyMjIyMjIyMjIyMjIyMjIyMjIyMjIyMjIyMjIyMjIyMjIyMjIyMjIyMjIyMjIyMjL/wAARCAIjAxk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2q7vrSxMa3DOC4yuFJzjGegPqKr/23pv9+X/v0/8A8TVPxD/x9Wn/AFzf/wBkrnrPU7PUJ7uG1m8yS0l8mcbSNj4zjkc8HtQB1v8Abem/35f+/T//ABNH9t6b/fl/79P/APE1ztFAHRf23pv9+X/v0/8A8TR/bem/35f+/T//ABNc7RQB0X9t6b/fl/79P/8AE0f23pv9+X/v0/8A8TXO0UAdF/bem/35f+/T/wDxNH9t6b/fl/79P/8AE1ztFAHRf23pv9+X/v0//wATR/bem/35f+/T/wDxNc7RQB0X9t6b/fl/79P/APE0f23pv9+X/v0//wATXO1TfVbJNXj0ppsXskRmSLY3KA4JzjHX3oA67+29N/vy/wDfp/8A4mj+29N/vy/9+n/+JrnaKAOi/tvTf78v/fp//iaP7b03+/L/AN+n/wDia52uQPxQ8Ghtp1jkHH/HtN/8RR1sB6j/AG3pv9+X/v0//wATR/bem/35f+/T/wDxNcjqeqWWj6bLqF/N5NrEAXk2lsZIA4AJ6kVj6X4+8M61qMWn6fqfnXUudieRIucAk8lQOgNC1Dpc9G/tvTf78v8A36f/AOJo/tvTf78v/fp//ia52igDov7b03+/L/36f/4mj+29N/vy/wDfp/8A4muIuPEel211JamaWaaL/WpbW8k/lf7/AJanb+OKu2V9a6laJdWVxHcQP92SNsg0AdV/bem/35f+/T//ABNH9t6b/fl/79P/APE1ztV76/tdNtHur24jggT7zucD2H19qAOq/tvTf78v/fp//iaP7b03+/L/AN+n/wDia4aLxNpUtzDbtNPbyTHbELq1lgEh9FMigMfYVr0AdF/bem/35f8Av0//AMTR/bem/wB+X/v0/wD8TXO0UAdF/bem/wB+X/v0/wD8TR/bem/35f8Av0//AMTXO0UAdF/bem/35f8Av0//AMTR/bem/wB+X/v0/wD8TXO0UAdF/bem/wB+X/v0/wD8TR/bem/35f8Av0//AMTXO0UAdF/bem/35f8Av0//AMTR/bem/wB+X/v0/wD8TXO0UAdF/bem/wB+X/v0/wD8TR/bem/35f8Av0//AMTXO0UAdF/bem/35f8Av0//AMTR/bem/wB+X/v0/wD8TXO1h634w0Hw5cx2+rX/ANnlkTei+S75GcZ+VTQB339t6b/fl/79P/8AE0f23pv9+X/v0/8A8TXB6J4t0LxHJJHpWox3EkY3NHtZGx64YAke4qHV/HHhvQ7w2mo6rHFcD70ao8hX67QcfjRsG56F/bem/wB+X/v0/wD8TR/bem/35f8Av0//AMTXGjXNMfRX1hLyOTT0jMjTx5YBR14HPHp1rCh+Jvg6eZIk1pAznALwSov4kqAPxo62DzPT/wC29N/vy/8Afp//AImj+29N/vy/9+n/APia4XW/FWi+HUt31W9EC3OfKIjdw2MZ+6D6ishfih4Odgq6xkk4A+zTf/EULUPM9R/tvTf78v8A36f/AOJo/tvTf78v/fp//ia4HW/GOg+HbiO31W/+zyypvRfJd8rnGflU1BpXjzw1reoR2Gnal511ICVTyJFzgZPLKB0FC12B6Hov9t6b/fl/79P/APE0f23pv9+X/v0//wATXnur+OPDeh3htNR1WOK4H3o1R5Cv12g4/GtS21WwvNM/tK2uo5rPYX82M7hgdenpjp1o6XC2tjrv7b03+/L/AN+n/wDiaP7b03+/L/36f/4muVsb621KxhvbSTzLedA8b7SNwPfB5qPU9Us9G06XUNQm8m1hxvfaWxkgDgAnqRQ9NwWux139t6b/AH5f+/T/APxNH9t6b/fl/wC/T/8AxNec6X4+8M61qMWn6fqfnXUudieRIucAk8lQOgNaGteI9H8PRJJqt9HbB/uAgszfRQCT+VD03Banbf23pv8Afl/79P8A/E0f23pv9+X/AL9P/wDE1xGi+JNH8RRPJpN9HciM4cAFWX0yrAEflWrRawHRf23pv9+X/v0//wATR/bem/35f+/T/wDxNczcTxWttLcTNtiiQu7YJwAMk8Vyf/C0vBn/AEGf/JWb/wCIoA9S/tvTf78v/fp//iaP7b03+/L/AN+n/wDia4c+JtHHh7+3zef8SzGfP8p+m7b93G7rx0qjpfj7wzrWoxafp+p+ddS52J5Ei5wCTyVA6A0W1sHS56N/bem/35f+/T//ABNH9t6b/fl/79P/APE1xUviHSodei0OS7C6jKnmRwlG+Zef4sY7HjParD6nZx6rFpjzYvJYjMke08oDgnOMfrQB1v8Abem/35f+/T//ABNH9t6b/fl/79P/APE1xOteItJ8PRwyareLbLO+yMlWbcf+Ag8e/Srl5fW1hYTX1zKEtoYzI8gBbCgZJwOT+FHS4HVf23pv9+X/AL9P/wDE0f23pv8Afl/79P8A/E1x1lrWn6jpA1W0uRLYlWfzQpHC5zwRnjB4xTf7d0saKmsNeRpp7oJFnkyoIPTg8/h1oem4LXY7P+29N/vy/wDfp/8A4mj+29N/vy/9+n/+Jrz7SPG3hvXbv7Lp2qxS3B+7GytGzfQMBn8Kn13xRo3hoQHV7z7MJ93l/unfdjGfug46igNzuv7b03+/L/36f/4mj+29N/vy/wDfp/8A4muF0LxToviXz/7IvPtPkbfM/dOm3OcfeAz0NSa14i0nw9HDJqt4tss77IyVZtx/4CDx79KAO2/tvTf78v8A36f/AOJo/tvTf78v/fp//ia5mWeOG3e4kcCJELsw5+UDOeKjsb621KxhvbSTzLedA8b7SNwPfB5oA6r+29N/vy/9+n/+Jo/tvTf78v8A36f/AOJrnaKAOi/tvTf78v8A36f/AOJo/tvTf78v/fp//ia4fWvEujeHUjfVr+O28z7ikFmb3CqCce+KXRfEujeIo3fSb+O58v76gFWX6qwBx74oWobHb/23pv8Afl/79P8A/E0f23pv9+X/AL9P/wDE15rffEXwppt9NZXeq+XcQOUkT7PKdpHUZC4q9Y+LdD1LR7rVrS+8yxtM+dL5TjbgZPBGTwewo6XDrY7z+29N/vy/9+n/APiaP7b03+/L/wB+n/8Aia8wh+Jvg6eZIk1pAznALwSov4kqAPxrfuNXsLS7srWe4CS3xIt/lJWQgZxuAwOPU89qAOw/tvTf78v/AH6f/wCJo/tvTf78v/fp/wD4muR1TVbLRrFr3UJvJt1YKW2ljknAACgk8+gqnrfinRvDi27ateG2FxnysxO27GM/dBx1HWgDuv7b03+/L/36f/4mj+29N/vy/wDfp/8A4muF0LxToviXz/7IvPtPkbfM/dOm3OcfeAz0NV9W8b+G9DvfseoarFFcDrGqM5X67QcfjQ9APQv7b03+/L/36f8A+Jo/tvTf78v/AH6f/wCJrlbK/tNSs0u7K4juLdxlZI23A1zB+KHg0NtOscg4/wCPab/4ijrYOlz1H+29N/vy/wDfp/8A4mj+29N/vy/9+n/+JritY8QaXoFvDcapdC3imcRoxRmy2M9gccDvU9/qtlpdvHPeTiOKWRYkYKWyzHCjgHr60Add/bem/wB+X/v0/wD8TR/bem/35f8Av0//AMTXFaz4h0nw/As2q30Vsr/cDZLNjrhRkn8BUWi+KtD8RF10rUYrh0GWTBRwPXawBx74o3B6Hdf23pv9+X/v0/8A8TR/bem/35f+/T//ABNc7SEhVJJAAGST2oA6P+29N/vy/wDfp/8A4mj+29N/vy/9+n/+JrzYfEPwkb77H/bdv5u7bkhgmf8Afxt/Wt691Cz06ye9vLmKC2QZaV2wPajpcOtjq/7b03+/L/36f/4mj+29N/vy/wDfp/8A4mvPdJ8ceG9cvRZ6fqsctwfuxsjxlvpuAz+FdBRYDov7b03+/L/36f8A+Jo/tvTf78v/AH6f/wCJrnaKANbxD/x9Wn/XN/8A2SvO/B3/ACG/Fn/YTP8A6AteieIf+Pq0/wCub/8AslcFf/Dzwrql/NfXml+bcztvkf7RKu4/QNil1v8A10Dp/XmafiW7urDwzqV3ZLuuYbZ3j4zggdce3WuHi0We48HxXiWGjW1xJbLMNZl1N1nViAfMZ/Jz16jdjt0rttD8M6P4cinj0mz+zpOQZB5jvux0+8T61EnhHQ0GxbNvI37/ALN58nkbs5z5W7Z15+7TtqF9DL8Rzj/hHNIsdQlmuLu+lhhxZTiNbh8ZOXI4jOOcDOCKyJLSXRvHXhtIdP0vSluTNHLDp8hJlUJkb/kQEA47HnvXdalpVjq9ssF9biVEcSIdxVkYdGVgQVPuCKoN4R0V54bh7aWS5hcPHcvdStMpHbzC27HtnHtTT1v5itpbyMrxVY3N7rtg0C2OpJDC7SaNc3Aj83JwJACCGx0+YYFR+F5LO18S3dgum32j3ktss7acXja12g43x7MgHPB6fSuk1HRNP1WWGa6gYzw58qaKV4pEz1AdCGA9s0thothps0k9tE5nlAV5ppXlkYDoC7ktj2zSjoN6nDaLb3niC71m7vtF0vUpo7+SAfb7plMCrgKqJ5ThRjnIOSTmtXTIby28B6zBd31tdrGtysLW9yZxHHtOIy5AJKnI59q3rrw3pd3eyXjwyx3EqhZZLe4khMgHTfsYbvxzTrzTI4vDV3punW0cam2kjhhjAUZKnA9OSamXwNeRS+NPzOO8N+HtEuvhraXl1FG8wtGk+2sf3sJGT8r9VC46AgcU99UbUfh/4ej1Q3kl5qckUQjglERnPP32I4QgAnHPNaWgeC7GPwxp9pqdlIsywr9ot1uXETOOpZFbYx9SQc10N/o+n6nZx2t3bK8MbK0YUlDGy9CpXBUj1BFaS+J+qIjsvQ4eS0l0bx14bSHT9L0pbkzRyw6fISZVCZG/5EBAOOx571J4kl1SL4m6f/Y9tDNevpcip577Y0+f7zY5IHoK6dvCOivPDcPbSyXMLh47l7qVplI7eYW3Y9s49qvvpVk+rx6q0Ob2OIwpLvbhCckYzjr7VPb5/kPv8vzOb8CRWs9tcX1yJZNfVzDqL3JBkRx/CMcKncAcYrsKox6RYw6xNq0cGy9njEUsiuwDqOmVzgkeuM1ept3AK5Bv+SvJ/wBgM/8Ao6uvrkD8L/BpbcdH5Jz/AMfM3/xdJfEn/XYOjR19ch4E/wBZ4m/7Dlx/7LXR6npdlrGmy6ffw+daygB49xXOCCOQQeoFY+l+AfDOi6jFqGn6Z5N1FnY/nyNjIIPBYjoTQt/68v8AIHsdJRRRQBx1jf6d4fkvNK0O3vtZv3uJJp1jC4WRuSJJSFRfTqSPStHwlo13pFhdvftH9rvruS7ljiJKRF8fKpPXGOtOtvB+j2cZjtRqEEbMXKRancoCx6nAk6mtSysIdPiaOF7l1ZtxM9zJMfwLsSB7ULRA9Q/tKxGoDT/ttt9tK7hb+avmY6525ziqOunRWuNKi1c/O12rWYO/BnAO37vGeuN3FSnw9pR8QDXTa/8AEyCeWJvMb7uMY2529ParOoadZ6raNaX9vHcQMclHHfsR6H3FHYDjvG1tPpzadrE1/NfRW+oRslhcKgUszYGzYqksueN26rOupbat4vh05bL+0bi1tPPa1u5xHaKGbAZhsYs/pxgCty38N6Xb3UVz5U080P8AqmurmWfyz6r5jNtPuKkvtB07UbxLyeKRbpEMazwTyQybeu0sjAkexoWn9eQP+vvOY8HCW08Y+JNO2WtvbxCB1tbRiYomZTnAwME8ZwB9K6u+v7m0kVYdJvb1SMl4HhAX2O+RT+QqCx8N6Tpt+19ZWnkXDJsd0kceYPVxnDH3OT71q0dEHVjYnaSJHaNo2ZQSj4yvscEjP0Jp1FFABRRRQAUUUUAFFFFABRRRQAVwPiH+2f8AhZdl/YX2D7X/AGW+ft2/y9vmc/c5z0rvqqNplm2rJqhhzepCYFl3HhCckYzjr3xR1T/rYOjX9bnOaV4f1ubxLFr3iC404XFvA0MMOno4UhupZm5P0qr8NPsf9iXm/wAv+1vtc39obseZu3nG7vjHTPvXcVz+r+B/Deu3hu9R0qOW4P3pFd4y312kZ/Gj+v1DocVH5H9j/ET+zNn9kYPkeV/q/M8v95txxjOOlGp/8Jp/wr4m5TQX0oWKFxCJPP8AK2jkbvl3Y/XpXoo0PTE0V9HSzjj094zG0EeVBU9eRzz69amfTrSTSzpjw5s2h8gx7j9zG3Gc56d85pNaNLsvwGn7yfr+hHoyQR6Hp6Wu82620Yi8w5bbtGM++K57wJ/rPE3/AGHLj/2WuptLWGxs4bS3UrDCgjjUsWwoGAMnk/jUNhpdnphujZw+Wbqdrib5id0jdTyeOnQcVbfvN/1uiUrRS/rZnFeJLTUb34nadFpmqf2bcf2Y58/7Os3G/kbW459a6jQ9N1uwac6tr/8AaocDyx9jSDyzzn7p5zx+VXX0qyfV49VaHN7HEYUl3twhOSMZx19quVK0Vv63G9WcP8NPsf8AYl5v8v8Atb7XN/aG7Hmbt5xu74x0z71T8PeRv8cf2Zs/sjcfI8r/AFfmeUfM244xnHSuk1fwP4b128N3qOlRy3B+9IrvGW+u0jP41qW2lWFnpn9m21rHDZ7CnlRjaMHr09c9etJq8WvKw7+9fzuZfgb/AJEbRf8Ar1T+VdBXH/8ACrfBn/QG/wDJqb/4utpvDWkN4eGgtaZ0wKF8jzH6Bt33s7uvvVSd22TFWsjG8Cf6zxN/2HLj/wBlqtZ/Zf8AhbWqf2h5f2r7JD/Z/m4+5g79me+c9Pf3rU0vwD4Z0XUYtQ0/TPJuos7H8+RsZBB4LEdCa0Na8OaP4iiSPVbGO5CfcJJVl+jAgj86W1rdP8rDet/P/O5zd99n/wCFtaT/AGd5f2r7LN/aPl9fLwNm/Hfdjr7e1dxWVovhvR/DsTx6TYx2wkOXIJZm9MsxJP51q0dEg63M7X/+Rc1T/r0l/wDQDXEeFND8VT+FNLmtPGP2W3e3Uxwf2ZE/lj03E5P1r0S4giuraW3mXdFKhR1yRkEYI4qOxsbbTbGGytI/Lt4ECRpuJ2gdsnmhaNv0/UH0/rsTqCEUM25gOTjGa5HwJ/rPE3/YcuP/AGWuj1PTLPWdOl0/UIfOtZsb03Fc4II5BB6gVj6X4B8M6LqMWoafpnk3UWdj+fI2Mgg8FiOhNC3bf9bB9mxz+s6Mut/ETULdX8q6j0mKW1nHWKVZSVYfj19iaNJ1k618QdKlmQQ3sOnTw3cGf9VKrgMPp3HsRXcLpdmmrSaqsOL2SEQNLuPKA5AxnHXvjNVz4c0k61LrAtAuoSxGF5kkZSykY6A4zgDnrx1oWlvn+v8AmD1v8v0/yPPb7WbXWvFmqXN1oes6rpsELafamws/NQE/61t2R83YY7VZsNZk1D4Va5p12k0V9plo9vJHcR7JNm0+WzL2JX9Qa9D03TbPSNPisbCAQ20QIRAScZOTyeTye9Vbrw5pN7dXdzPabpby3+zXDCRl8yP0IBAz79fek17rj5f1+v3jvrc4mPHhbSo3GE0jWdPAbniC68rg+wcf+PD3qiTbDQfh7/ae3+yc/v8AzPub9n7vdnjGc9fevSrrRtPvdHOk3NssliY1j8pifujGOc54wOc5pn9haWdFTR2s4309EEawSZYADpyefx61Terfmvwv/mSlok+z/EzPFU3h+CPTZNXtxPMLlPsKQn975mRjZgg46Z5x09qveKP+RS1n/rxm/wDQDVXSfBHhvQ7wXenaVFFcD7sjO0hX6bicfhVjXfC+jeJRANXs/tIg3eX+9dNucZ+6RnoKmSvGxUXaVxPCX/Im6L/14w/+gCuCvtZtda8Wapc3Wh6zqumwQtp9qbCz81AT/rW3ZHzdhjtXeaN4S0Tw/HcppVmbZbpQsuJpGLAZxyWJHU9MVoabptnpGnxWNhAIbaIEIgJOMnJ5PJ5PeqlaUm/61JjorHGeFNZk1DwLqOnXaTRX2mQPbyR3EeyTZsPlsy9iV/UGt3wN/wAiNov/AF6p/KtB9D06TUbi/a2/0m5g+zzOHYb4/QgHGffGfeuf/wCFW+DP+gN/5NTf/F0ru7b62/Udv1/Q7CiqunadaaTp8NhYxeVbQjEabi2BnPUknvVqgDjdRtoZ/HZudK1O1j16CzEb2l7AzI0ZOQykEEHrkqT7imWF0sPj6GDVNKso9ZntG23djcswZAQSHQgY6cE56YBrf1rwxoviJUGq6fHcmPhXJKsB6blIOPbNN0Xwrofh3edK06K3dxhnyWcj03MSce2aI6fiD12ON0XS9fvta8SyaV4k/suFdUkDRfYY59zYHzZY8duPat3XrTULL4c61Dqep/2jci1lJn8hYcjHA2rxxUt98OvCmpX017d6V5lxO5eR/tEo3E9TgNirlj4Q0LTdJu9LtLHy7K8yJ4/Oc78jB5LZHHoaVvc5fKw7+9fzOG1P/hNP+FfE3KaC+lCxQuIRJ5/lbRyN3y7sfr0rptb0db/wDaf2UJPtFjDDdaez8vuRQVB9yMj8a6V9OtJNLOmPDmzaHyDHuP3MbcZznp3zmpLS1hsbOG0t1KwwoI41LFsKBgDJ5P41Une9iYqyV/62OIGpR+Ntf0CGA5sraBdTul9JOkaH3DZOPaun8Uf8ilrP/XjN/wCgGpNJ8P6VoTXJ0yzS3N1J5k21idzfiTgcngcVDrvhfRvEogGr2f2kQbvL/eum3OM/dIz0FTJXjZf1/WxUXaV2J4S/5E3Rf+vGH/0AVgfDQ2f9i3m/y/7WF3N/aG7Hmbt5xnvjHTPvXQaF4W0Xw15/9kWf2bz9vmfvXfdjOPvE46mq+reCPDeuXv2zUNKiluD1kV2Qt9dpGfxqpO8m+5KVo2G+FZtBd9Vj0C3McKXR850P7qSUgZ2ckcDHQAdKpN/yV5P+wGf/AEdXTWNhaaZZR2djbx29vGMLHGuAP/r+9cyfhf4NLbjo/JOf+Pmb/wCLoWjXl/lYfR/11uR+PbeG7uvDNvcRrJDLqqI6MMhgUYEVzuuTyaXp9v4XvJC0lpqVtJZSOcma2Mny/in3T9BXpN5pVlqElo91D5jWcwmgO4jY4GAeDz171Dqvh/S9bltZdRtFmktJPMgbcylG47gj0HB44pLT77/l/kD1+7/P/M5m2+z/APC2tR/tHy/tP2OL+zfM/uc79ue+7PTnGfeqcGsaxB8RNL07WLfw3Lc3CSDzrKN2nhQISAWY/Ln07812Os+HtJ8QQLDqtjFcqn3C2Qy564YYI/A1Bp3hLQdJFv8AYNOjgNvIZY2VmLbipUkknLcMRznrRHS1wet/M2q5r4g/aP8AhA9X+zbvM8nnb12ZG7/x3NdLSEBlIIBBGCD3pNXVhxdnc52I+Gv+EGViLU6F9myQcbSMd/8Aaz+OfeuY1iXSpofA8jwPB4dMzYjuui/J+637iRj6npXR/wDCu/CX277Z/YkHm7t2NzbM/wC5nbj2xW9e6fZ6jZPZXltFPbOMNE65HtVN683mSlZW8jkPiX9l/sG08ry/7W+1Q/2btx5m/ePu98Y69untXZz3MNpbNcXU0cMSDLySMFVfqTwKxNJ8D+G9DvReafpUcVwPuyM7yFfpuJx+Fa+oafa6rYTWN7F5ttMu2RNxXI+oINLZWQ+upJbXNveW6XFrPHPA4ykkThlb6EcGpaq6dp1ppOnw2FjF5VtCMRpuLYGc9SSe9WqH5Ar9TW8Q/wDH1af9c3/9krJrW8Q/8fVp/wBc3/8AZKyaACiiigAooooAKKKKACiiigAooooAKKKKACiiigAooooAKKKKACiiigAooooAKKKKACiiigAooooAKKKKACiiigAooooAKKKKACiiigAooooAKKKKACiiigAooooAKKKKACiiigAooooAKKKKACuJh8ReKPEE9xN4bstMj02CVoln1F33TlTglQnQfX/61dtXnui3+qeCLeXQ7zw/qd/bRTO1nc6dD5oZGYthhkbSCe//ANcrqPobJ8S6mnhDVdSutJax1HT0kzDOC0bsoyGVhjcp9v8A69OTxtox0BbttZ0oXptfMMP2pP8AWbc7du7PXjHWqFyPEWqeB/EE2p2rRzXcMn2PT41DyRJt4B2jJY+n/wCqrEfhPRv+EQTd4fsPtv2AZzZJ5nmeX9M7s/jmiV7P0X6hG118/wBDT0fXftPg6113UTHCGtftExQEKvGTjJJ/Wsjwp4s1PVdT+yaxZQ2n2u2+2af5eQXi3EENkn5gNp47GsabTdX1PwT4d8LQW9xam5hU3txLbttgROdrA4+YnHy+1Saz4Y8WWcdrrCa+NWuNKfzYLRNOSFnXgOoKnPK5GMc1TtzPsSruK7mlrXjK80bxomnyW0LaPHbxy3U4U+ZFvYqG642g7c8d62J9auIvGtloypEbaezkuGcg7wysAMHOMc+lZVvZNqfju8ubiwuBp95oscbedCygkuSUOejYPI6isvQ9N1iy8f2tpeW1xJZ6fZSwQXxUlZIywKAtjG4Dgj2pK+i9f1/4AN7teX6f8E0o/EPibxBPcv4ZstMj0+3maFbnUXf9+y8EoqdBnuev6DVt9U1qLQdRuNV02G1vLSN2QxyiSKbCkhhzuAyOhwa5KOCbQNGu/C2s+GtT1bSmmZrabT1Mm+MvvAfDAoQf89y3wz4eu9Lh8WKujSWEN5Zo1rbBmlI+WQbdxzluhIBONwqX8Lt2/ErTm+f4CWXjbxJeWUNz/bPgWDzUD+VPdSLImezDdwa9G097iTT7d7trdrho1MjWxJjLY5K55x6V5lotzo1nollbX3w41We7ihVJpf7DRt7AcnJ5P416Zp1wt1ptvOlrNao8YKwTR7HjH90r2I9K0dtbEroWq5LXtZ8RJ4qttF0FNL3SWhuWa+EmOG24BQ/TtXW1w3iDwxbeIviBZjU9PluNOTTmy43qgk38DcpHOCeM1HVf10ZXR/11LWleINdg8UR6D4hg00zXEDTwzae77VC9QyvyPrVeLxD4p8QzXM3hqy0uPTYZWiWfUWfM7KcEqE6DPr/+re0Xwpofh0yNpWnR27yDDPuZ2I9NzEnHtXLaPqGp+B7aXRLvw/ql/bRSu1pc6dD5wdGYthhkbSM9/wD9b6iV7GjF4xupPC+t3M1klrrGkI4ntnO9NwXKkEEZU/X/ABqhLrvjqx0Ma5dQ+HJLFYRcPHG8ySFCM4BbgHH1/Goho+q3Hhrxdq95YvDf6xCfKsk+d0RUKoDjqxz0/wD1VBd/DXRE8Fm7s9Kmj1lLITIVllL+cFBxtJIzntih3V2+y/W41ul6/odZe3niHUNM0698OJpiC4iEsq6kJMqGAKgbO/Jzn2rn9H1rx7rMl6IU8NqtldvaS7xOCWXGSuCeOeM4rtNJmmuNHsprlHSd4EaVZEKMG2jIIPQ57VheC7S5tZPERuLeWHzdYnkj8xCu9Dtwwz1B9aq1pNf1uiVrBP8ArqUfFfirVtJ8SWmlWE+iWyTWpnabVXZEBDYwGBH5Yqfw5q/iLVNSxcaj4Vu7KMZmGmTySSrkHb1OBz6+9M1bRU1P4lWEl5pi3dgunOrNNB5kQffwCSMZrprHSNM0wyHT9OtLQyABzbwLHux0zgDNTHa/r+bHLey8vyOVi8Q+KfEM1zN4astLj02GVoln1FnzOynBKhOgz6//AKtHR/FE+oaRqhurMWmraYGW4ty25QwXcrAjqp/z61h6PqGp+B7aXRLvw/ql/bRSu1pc6dD5wdGYthhkbSM9/wD9dzRdL1J7LxJrWoWjW15qyHy7MHc0aKhVAcfxHPT/APVSfwO3b8SvtfP8DovDepTax4b0/UbhY1muYFkdYwQoJ9Mk/wA6san/AGj/AGdL/ZP2X7dx5X2vd5fUZ3beemeneuH8N+LZtH8N6fp1x4U8TtNbQLG7R6cSpI9Mkfyrrm1zb4eGr/2VqZ+UH7GLf/SfvYxsz179elVK13bYiN9L7nP+Fda8W6zqdyL5NEWxsruS0ufIEokLqOqZJGMkdccZq5rHiHV5NfOg+HLO1mvIohNc3F4xEMKn7owvJJ9v8cZHgbVbmLVNTtLjQNbtv7R1Ga6jmnsykcaMAQHYng/LjvyRVvUP7S8MeML3WoNKutS07Uoo1nWzXfNFIgwDs/iBHp/+tdr/ANaf5ldXb+tf8i5o/iHV49fXQvElpaw3k0RltbizZjDMB95QG5BHv/hnqq4iwGoeKPGFlrU+lXWmadpkUiwLeLsmmkcYOU7AD/Pp29Pori6hRRRSAKKKKACiiigAooooAKKKKACiiigAooooA1vEP/H1af8AXN//AGSsmtbxD/x9Wn/XN/8A2SsmgAooooAKKKKACiiigAooooAKKKKACiiigAooooAKKKKACiiigAooooAKKKKACiiigAooooAKKKKACiiigAooooAKKKKACiiigAooooAKKKKACiiigAooooAKKKKACiiigAooooAKKKKACiiigAooooAKKKKACiiigAooooAKKKKACiiigAooooAKKKKACiiigAooooAKKKKACiiigAooooAKKKKACiiigAooooAKKKKACiiigAooooAKKKKACiiigAooooA1vEP/AB9Wn/XN/wD2SsmtbxD/AMfVp/1zf/2SuL8S+LtO8LLbm9S4lacttS3QMyqoyzkEj5R60Ab1FQPeW0dib55kFqI/NMpPy7MZzn0xXJn4laWE+0HStbGnk/8AIQNifI2/3t2c4/CjrYOlzs6KydT8SaXpOjx6pcXG62m2+R5Q3tMWGVCgdSay7Lx7p9xqMFjeadq2ly3LbIG1C0MSyt6A5PP1o62Dpc6qiud1zxfb6HqkOnHTNUvrmWHzgljbiUhc45G4Hr7U/RvFP9s3ptv7B1yxwhfzb6z8qM4xxnJ55oWuwPQ36K5W98eWFtf3Fpaabq2qPbNsnfT7QypG3dScjmtTTPEmlato0mq21yBaxbvOMg2mIqMsGB6EUdLh1sa1FcYfiVpYT7QdK1saeT/yEDYnyNv97dnOPwrV1zxdp2habZ38qT3VveMFhNqqtkFSwPJHGBQBvUVg6/4u03w7plvf3Cz3EVxzGtuoZiu3du5I4xj8xUGreNLXSb22sxpeq309xb/aFSytxKQmccjcDR5AdLRWBo3in+2b0239g65Y4Qv5t9Z+VGcY4zk880aF4v03xBqV/p9qs8dxZOUdZlA34YqWXBORke3UUAb9FYR8UW5g1aSCxv7l9MnEEsMEIeSRuPuAHkc98dDWN/wsq2+2fY/+EZ8S/atnmeT9gG/ZnG7buzjPGaNwO2oqppl9/aWnxXn2S6tfMBPk3UeyRcHHzL2q3QAUVg674t0/QbmG0kjuru+mG6O0sovNlZfXHp/hTtD8V6frtxNaRpdWl9CoeSzvITFKqnvjuPoe49aFqD03Nyis7R9attbguJrZJUW3uZLZxIACWQ4JGCeKitfENjdHVcl4U0yUxXEkoAXhdxIwTxj1xQBrUVxh+JWlhPtB0rWxp5P/ACEDYnyNv97dnOPwrX1XxNFpttZ3MGm6nqkN0pdH02384BcAgnkYBzx+NAG5RXFWvxItrx3W38NeJJfLkMUhSxDCNx1VsNwR3Fa+ueLdP0G4htJI7q7vpxujs7OHzZSvrj0/wNAG9RWFoXizT9euZrSOK7s76AbpLS9h8qUL/exzkf4j1o0TxZYa9qF9Y20dxFNZuyt5ygB8MVJXBOQCO+OooA3aKwdE8W6fr+p31jZxXIez5aSRVCSDcQCpBJIOD1ArIPxIthffYv8AhGvEv2rZ5nk/YRv2ZxuxuzjPehagdrRWbrOr/wBjWKXX9nahfbnCeVYwebIMgnJGRxx+ornZPiNDA0Ym8MeJovNcRp5lgF3MegGW60LV2Dpc7SiqGs6xa6FpE+pXm/yYVBKoAWYk4CgdyScUzQ9ctfEGlrf2iyohZkaOVdrxspwVYZODQBpUVxVz8SbazKC58NeJYvMkEUZksAodz0UZbknsK3tD17+3Fnb+ydV0/wAoji/tvKL5z93k5xj9aOlwehr0VxR+JFsL77F/wjXiX7Vs8zyfsI37M43Y3ZxnvXR61run6BpxvtRm8qLIVVAyzseigdzR0uFtbGlRXK2Pj3TrrUbeyu9P1XS5Lk7bdtQtfKWVvRTk81bu/F+m2Xiq38PXCzpdXCB0lKjyuc4UnOcnae1FgN+is6XWbeLxBb6MySm5ngadWAGwKpwQTnOefSsa98eWFtf3Fpaabq2qPbNsnfT7QypG3dScjmi4HVUVm6Jrth4h08Xunyl49xR1ZSrIw6qwPQ1pUAFFZPiLxDbeGtOS9uoLmdXlWFY7ZAzlmzjAJHpWMvj3cwX/AIRLxUMnGTp3A/8AHqFqD0OvorB1zxbp+g3ENpJHdXd9ON0dnZw+bKV9cen+BpdC8Wafr1zNaRxXdnfQDdJaXsPlShf72Ocj/EetC12B6G7RXGn4iWzT3Edt4e8Q3a28zwvLbWQkTcpwcENXQ6Jrdlr+nC9sXYx7ijq6lXjcdVYdiKFrqGxo0UVk+IfEFv4c0+O8ube5uFkmWFI7ZAzszZxgEjPSgDWorkofiBZG7ghvtH1vTEncRpPf2Rjj3HoM5OM1f13xbp+g3MNpJHdXd9MN0dpZRebKy+uPT/CgDeorC0LxZp+vXM1pHFd2d9AN0lpew+VKF/vY5yP8R61lH4iWzT3Edt4e8Q3a28zwvLbWQkTcpwcENQB2VFYcHiqyvPDsms2Nve3kcbbHtoICZw+QCuzjkZ59qxf+FlW32z7H/wAIz4l+1bPM8n7AN+zON23dnGeM0B5nbUVzt/4vttN8PW+sXWm6nGs8oiW1aACcMSQAULd8evcVSXx7uYL/AMIl4qGTjJ07gf8Aj1HWweZ19FYOueLdP0G4htJI7q7vpxujs7OHzZSvrj0/wNLoXizT9euZrSOK7s76AbpLS9h8qUL/AHsc5H+I9aFrsD0N2is7TdZt9UutQt4ElV7CfyJS4ABbAOVwTxz3xWjR0uAUVxR+JFsL77F/wjXiX7Vs8zyfsI37M43Y3ZxnvXR61run6BpxvtRm8qLIVVAyzseigdzR0uFtbGlRXK2Pj3TrrUbeyu9P1XS5Lk7bdtQtfKWVvRTk811VFgCiiigAoqOaaK3gknmdY4o1Lu7HAUAZJNYP/CWxHTzqSaRqbaYE8z7YI4wvl/39hfzMY5+705oCx0VFZV54i02y0q21FpWkhutv2ZYkLPOWGVVV6kn/APXUI8Sxw3VtBqOnX2nfanEcElyIyjuei5R22k9t2M07O9g8zboqK4uYLS3e4uZo4YUGXkkYKqj3J4FFtc295bpcWs8c8DjKSROGVvoRwaQEtFFVNU1GHSdKutQnV2htomldYwCxAGeMkc0N2Dct0VhWvizTrvwzNryrOltCG3xOoEgYfw4zjJ4xzzkVPofiCz17R/7UgWWC3DOrC4CqV2nBzgkdvWgDWoqjZazpepSNHYalZ3UiDLLBOrkD1IBqa91Cy06ETX13b2sRO0PPIEXPpkmgCxRWPbeJdOvNeXSbVzPI9p9rWeIq0TJu28MDyc+341bvNZ0vTpFjvtSs7WRxlVnnVCfoCaALtFNR1kRXRgyMMhgcgis+TxFocSRPJrOnosozGzXSAPzjjnnmgDSoqCa9tbeOOSe5hijlYJGzyBQ7HoAT1J7VBba1pV7dNbWup2U9wucxRXCs4x14BzQBeooooAKKztH1q21uC4mtklRbe5ktnEgAJZDgkYJ4o03WbfVLrULeBJVewn8iUuAAWwDlcE8c98UAaNFZ/wDbukfbvsX9q2P2stt8j7QnmZ9Nuc5qxdX9nY7Ptd3Bb+ZnZ50gTdgZOM9cDmjzAsUVnx67o8rwJHqti7XHEKrcITL/ALvPP4VYvL6z0+Hzr27gtos43zSBFz9TQBYoqC0vbS/gE9ncw3MJOBJDIHX8xU9AGt4iIFzaEnAEb/8AsleLw32sa14i1TXLLwudY06aNrC1d72OFfKBIfAbk7jnn8K9m8SIsk9sjqGRonDKwyCPk4NY9vbwWlulvbQxwwxjCRxqFVR6ADgUrajvoee+HdTMPhDV9A8QadctNpcRSWzjYSSvbMPlwQQGwOMg9hUa6xY2Ogh9N8cafNYpb4jsNTijkbbt+4QpV/bBBP1r0T7HbfbPtn2eH7Vs8vz9g37M527uuM84qmfD2iG6+1HR9PNxu3eb9mTfn1zjOab1EtDkb7UNIuvB3h261eyuNKjkkSSCazUKllIPusc8BT2yCOefWqup+IRaGyT+39H8TrJdxqlm1ujTZJ+8pjO0MPUqK9HlijniaKaNJI3GGR1BBHuDVOz0PSdOmM1jpdlaykYLwW6IxH1Ap9b+dxW92xw/i6Gyn+Itil9rdxo8P9mMRcwXYt2J8z7u49j6e1bnheHR7W9lSx8X3WszSJ/qbjUkuNoB6hR0+tbt9oulanIsl/plldyKNqtPAshA9ASKbZ6Do+nT+fY6TY2s2NvmQW6I2PTIFKOit6jerOIsr/SIbnUDpXic+Hpmu3a5sNSSIjze7AMQcHrw2PpVjSNZtdS8PeJXvNOgvLWKRknn0uAoL1SvzMATksB1O76GuwvdE0nUpRLfaXZXUgGA89ujkD6kVchhit4VihjSONBhURQAo9gKVtLeVh9bnnC6xY2Ogh9N8cafNYpb4jsNTijkbbt+4QpV/bBBP1qS+uRqGkeBLg2Mdks2oRH7Mi4RBtbgDsD1Hsa7Q+HtEN19qOj6ebjdu837Mm/PrnGc1cntLa5aJp7eKVoX8yIyIGKN/eGeh9xVdbvuibaW8meaeJPDd7pXg/WpLy4hltrW2+zaciEkxwmYMd2R97GxeOy07XobKfxno6X2t3Gjw/2PkXMF2Ldidw+Xcex9PavSrm2t7y3e3uoIp4HGHjlQMrfUHg1VvND0jUGRr3S7K5aNdiGa3Ryq+gyOBUrf+vP/ADKf9fh/kYfheHR7W+lSx8X3WszSJ/qbjUkuNoB6hR0+tc1o+n3DaRf61pqbtT03WbuRFA/10ZYb4vxHT3Ar0Cz0HR9On8+x0mxtZsbfMgt0RsemQKtW9pbWiuttbxQq7mRxGgUMx6scdSfWn5/1uL+vwOO+Ht/Bql14kvrVi0E+oeYhIwcFF6+9WG/5K8n/AGAz/wCjq6e1sLOx8z7HaQW/mvvk8mMJvb1OOp96d9ktvtn2z7PF9q2eX52wb9mc7d3XGecULRry/wArB0fn/ncmooooA4P+0bPQPidqkusSJbR6haw/ZLmY7Y8IMOm48A5wef8ACtW08RaTq/i9bXTLaC/lhtyZtSi2sIFJ4QPjnJ7A+voa37yxs9Qh8m9tILmLOdk0Ydc/Q0WljaafB5FlawW0Wc+XDGEXP0FC8+gPyOJ8I65peitrmm6pf21ldx6nPKUuZBHuRyCpXPXI9Kh0O5s7vRPGGqy2txeaVd3khCQr880YUKxUZHv3HSu2vdG0rUpFkv8ATLO6dRhWngVyB7ZFXI444Y1jiRUjUYVVGAB7ClbT5W/L/IfXTvf+vvPN11ixsdBD6b440+axS3xHYanFHI23b9whSr+2CCfrXZ+F7v7d4X066+wpYiWAMLeNdqoPYdh3H1qU+HtEN19qOj6ebjdu837Mm/PrnGc1pVV9ybHIeBP9Z4m/7Dlx/wCy1TGoWegfE3VJdYlS1j1C1h+x3Mx2phBh03dBzg8+3tXawWltamU29vFD5rmSTy0C73PVjjqT6028sbPUIfJvbSC5iznZNGHXP0NLt5L9LFPW/n/nc4tr+08QfE3SZdGnS5j062mN5cwncm1xhE3DgnPOPr71maLouo6jpt9daNcQW+oQ6tfRGSYkDypOG6A8ghWHutej2dhZ6dD5NjaQWsWc7IIwi5+gp1vaW1orrbW8UKu5kcRoFDMerHHUn1o0/rzdxO+/9bWOM8M2cWn/ABD1yzgGIYLG0jTPoFxUDeIdF/4Wot3/AGxp/wBmGjmIzfaU2b/OztznGcc4ruks7aO6kukt4VuJQFklVAHcDoCepxWb/wAIp4czn/hH9Kz6/Y4/8KE9Vfz/ABv/AJhpZ/L8Lf5Euua9YeHtNN7fzKiE7Y13AGRj0UZOP6DqeKwNM1fQ3vP7W1fxFpEmoMMRRLfRmO0Q/wAKc8t6t1PbA4rqL3TNP1KNI7+xtrqNDlVnhVwp9QCOKo/8In4b/wChf0r/AMAo/wDChbh0scr4tvr/AFbxXY6bpWlNqsWlFby7hFwsSmQ/6sFm44+9jv8AhTfD2palpXja4t9W0Y6Tba2TLBH9pSZftCgbsFem4c4Pce9d9BZ2ttJNJb20MTzNulaNApc+rEdT9aLiztrvyvtNvDN5TiSPzEDbHHRhnoR60R0/r+v6QPU5bx9/q/Dv/Yctv/Zq6+obi0trsRi5t4pvKcSR+YgbY46MM9CPWpqOlv66A9/68zz9vEOi/wDC1Fu/7Y0/7MNHMRm+0ps3+dnbnOM45xVvxxLHYax4a1i7Vm0yzun+0OFJEZZcI5x2Brd/4RTw5nP/AAj+lZ9fscf+FazxpJG0ciK8bDBVhkEemKOi8v8AO43q35/5WOA8da3pWu6LBo+kX1vfand3MX2ZbaQSGMhgS5K/dwM9f8adqGkQ638QtU0+4JAk0aPbIOsbiUlXHuDg12NloulabI0lhplnayMMM0ECoSPcgVYFpbC7a7FvELlk8tpgg3lc527uuM9qNPz/ACsJ/wBffc880XVbjUPiNp9vfrt1Ox0+a3uwBgFwy4cezDDD606yv9IhudQOleJz4ema7drmw1JIiPN7sAxBwevDY+ld/wDYLP7d9u+yQfbNmz7R5Y8zb6buuPaoL3RNJ1KUS32l2V1IBgPPbo5A+pFHb+utw7/10sYXgfVxqo1YiCxPlXe03tlCY47s45bBySw7nJ9q6ymQwxW8KxQxpHGgwqIoAUewFPoEjividF5+gafD5jx+ZqcC74zhlySMg9jWhpng/wDs3UIbz/hI/EN15ZJ8m6vt8bcY+ZdvPWt+5tLa8RUureKdUcOqyoGCsOhGe49amoWn9eg3qcINQs9A+JuqS6xKlrHqFrD9juZjtTCDDpu6DnB59vaka/tPEHxN0mXRp0uY9OtpjeXMJ3JtcYRNw4Jzzj6+9dpeWNnqEPk3tpBcxZzsmjDrn6GizsLPTofJsbSC1iznZBGEXP0FC0t5f1+oPW/meceGNI8RX0Ory6X4n/s23/tS5XyPsEcvzbuTuY55rf8AhyAnh+7jkUfbI7+dLuXJPnShuX56ZGOPauqt7S2tFdba3ihV3MjiNAoZj1Y46k+tFvZ21qZTbW8MJmcySmNAu9j1Y46n3NC0+635A9fv/wAyauN+JKSy6LpscE3kTNqluEl2htjEnDYPXHpXZVDcWtvdqi3NvFMqOJEEiBgrDowz0I9aOq+QHJt4N1fUZIU8QeKZdRso5Fl+zJZRwB2U5G5lySPaqw1Cz0D4m6pLrEqWseoWsP2O5mO1MIMOm7oOcHn29q7uq95Y2eoQ+Te2kFzFnOyaMOufoaOoWWpxbX9p4g+Juky6NOlzHp1tMby5hO5NrjCJuHBOecfX3rM8MaR4ivodXl0vxP8A2bb/ANqXK+R9gjl+bdydzHPNej2dhZ6dD5NjaQWsWc7IIwi5+gp1vaW1orrbW8UKu5kcRoFDMerHHUn1o0/r1uD1/ryOV+HICeH7uORR9sjv50u5ck+dKG5fnpkY49qVv+SvJ/2Az/6OrqbeztrUym2t4YTM5klMaBd7Hqxx1PuaPslt9s+2fZ4vtWzy/O2Dfsznbu64zzinfVP+trB0a7/53OQ+J0Xn6Bp8PmPH5mpwLvjOGXJIyD2NaGmeD/7N1CG8/wCEj8Q3Xlknybq+3xtxj5l289a37m0trxFS6t4p1Rw6rKgYKw6EZ7j1qaktP69Aepwg1Cz0D4m6pLrEqWseoWsP2O5mO1MIMOm7oOcHn29qRr+08QfE3SZdGnS5j062mN5cwncm1xhE3DgnPOPr712l5Y2eoQ+Te2kFzFnOyaMOufoaLOws9Oh8mxtILWLOdkEYRc/QULS3l/X6g9b+ZxfhzWtK0zX/ABTHf6nZ2jvqRZVuJ1jJGwcgE12Njqunamrtp9/a3axkBzbzLIFz64PFVrjw3oV3O89zounTTSHLySWqMzH1JIyas2Oladpiuun2FraLIQXFvCsYbHrgc0La3kD3OKbxDov/AAtRbv8AtjT/ALMNHMRm+0ps3+dnbnOM45xVvxxLHYax4a1i7Vm0yzun+0OFJEZZcI5x2Brd/wCEU8OZz/wj+lZ9fscf+FazxpJG0ciK8bDBVhkEemKOi8v87jerfn/lY4Dx1rela7osGj6RfW99qd3cxfZltpBIYyGBLkr93Az1/wAa9AGQoBOTiqVloulabI0lhplnayMMM0ECoSPcgVeo6WF1CiiigCjrE8Fto15PdWj3lukTNLbpGHMi45G08HjtXPaza6BrfhB9RF7Lb2H2T92YbpkiQAZCmIN5ZIPGCD6V19Zw8P6KLv7WNIsBc7t3nC2Tfn13Yzmk1dNDTs7nHT773wn4V1DULiLTNWhlRrbzYCIWfBARwowgZQPTHb0pvjZdc1S30vS5U0+3mnvI2SG2neaSTacluUTaqjJJ57V6BNBFcwtDPEksTjDJIoZWHuDVex0jTNMLGw060tC/3jBAsefrgVV9b+dybe7bysQeIP7L/sC8/tr/AJBvl/6R977uf9n5vypPDn9lf8I/Z/2H/wAgzYfI+90yc/f+brnrV+4t4Lu3e3uYY5oXGHjkUMrD3B4NFtbW9nbpb2sEcECDCRxIFVfoBwKQyWsHxr/yJGt/9ecn/oJreqOeCG5geCeJJYZFKvHIoZWB7EHqKUldNDTs7nE6b4avJ5NLuYp4V0iaG1urqEk73mjjwuOMbTiMnn+CuXss/wDCCaN9ox/ZX9uN9v3fd8vzDjf/ALO7Gfwr2CONIo1jjRUjQBVVRgADoAPSoYbCztrVrWC0git2yTEkYVDnrwOOapv3r/1un+liUvds/wCtGv1OV8a+QZ/Dxs/L/tT+0Ivsvl43+X/y0xjnZt69ulOfZ/wtZft+Mf2b/wAS/wAz7u7f+825/jxjpziuistF0rTZGksNMs7WRhhmggVCR7kCpr3T7LUYRDfWlvdRA7gk8Qdc+uCKS0/rysN6/wBedziLH7D/AMLqvvsfl7/7L/0jZj/Wb1znHfG3NM8LJqsl/wCIg1/psF8L6Q3KXVm0shjwNhyJV+Tb04x1rt7fStOs5UltbC1gkSPyleKFVKpnO0EDpnnFNvNG0vUZFkvtNs7qRBhWngVyPoSKNkl6r8bh/X4WMbwRaw2mgSi11Fb61kuZXieO3aGNATyiBiflBzgg45rO+GthaSfD2FHt42W7aYTgr/rPnZefXgYrtlVUQIqhVAwABgAVFa2ltZW629pbxW8K52xxIFUZOTgDjrT7gtvnc4fx5pVlZeE9I0uCHbZJqNvEsTOzfKSeMkk9/WrvjSGKG58KtFGsZi1aKNNgxtUg5Ax0HA49q6u5tLa8RUureKdUcOqyoGCsOhGe49aJ7W2ujEbi3imMTiSPzEDbGHRhnofekt7+d/y/yB/pb8yaiiigDzHwt4V/tiPVrr+3tcsf+Jpcr5VjeeVHw3XGDzT9EtL2w0Txxa6dcXVxeRXEixTTPvmdvLHJPdq9Ft7S2tFdba3ihV3MjiNAoZj1Y46k+tENrb27zPBbxRPM2+VkQKXb1bHU+5pW0t5W/Id9b+d/zONjOg/8KkG77N9g+wc5x/rdvP8AwPf+Oaz7xbpo/h4NRDG685TKJBzu8sdc9/613B0LRze/bTpVibvdu8/7Om/PruxnNWprS2uJYZZ7eKWSBt0TugYxn1UnofpVN3d/NP7ibaW8n+J4/MiJ4e1l1RVf/hKx8wHPDDH8z+ddZqgvj8UbdftNpbqbAixa7tzKpfd84QB0w+MdycV1x0jTDE8R060MckvnupgXDSf3yMct79akvLGz1CHyb20guYs52TRh1z9DSWlvL/JIp6t/11uc1oll5fjbU7ltXtp7r7OiXdtaWTxIGzlXZi7AvjIx1xXW1BaWdrYQCCztobeEdI4Ywij8BxU9HSwvM1vEP/H1af8AXN//AGSsmtbxD/x9Wn/XN/8A2SsmgAooooAKKKKACiiigAooooAKKKKACiiigAooooAKKKKACiiigAooooAKKKKACiiigAooooAKKKKACiiigAooooAKKKKAPMTrWq3ut6zFJ49stFjtb14Ybee2gYlBjBBYg45x36Vc0/xTq0/g7xJO17DdT6YHW21KCIBJ8Lndt5XIPpxyPx0dF8I2rajrtzrWjWU7XGoPLbvPFHKTGQMY6kDOeDitfxDpbT+D9S0zTbaNXktXjhhjCouSOAOgFS7qHy/Ee8/K5zth4m1Q+GZLW4uFfXneKG3lKKN/nqGjk2gYwoLZ4x+7NN8Pv4n8TeF7W5h8SmyuUnnSWQ2MUvmgNheOAMYPTrmui07w7ZINK1C6tB/alnZpAJN5+TC4IwDtPVueetVvAulXujeGxaX8Pkz/AGiV9u4Nwzkg5BI6VbtzP+uxKvyr+ujuc94fi8Y61LqW7xl5QsL+S0I/syFvM2Y+btjOenP1r0btXOeE9LvNMfXTeQ+WLrVZriH5gd0bYweDx06Hmujo6L5fkN7sK4OwufFXjBZ9S03WYdG0wSvHaoLRZ3lCnBZi3A5Hb/657yuDsLbxV4PWfTdN0aHWdMMryWri7WB4gxyVYNweT2/+sJ6j6Cp4n1ZfDPiSC9aKLXNGjbdNCoKPldySAEd/T/8AVWG+v6xa6Kmpx/EXTLy5ESyjTjaQbnYjPl/Id2c8cAfhW4nhjVm8M+JJ71Ypdc1mNt0MLAImF2pGCT29f/11Ne+B9Om8Evaw6JYR6sLIBHSFFcTBP7477u+abvq/JfrcFul6/oO8S6rrX9m+HFsbk6VeancxxTEwrKYtyEkbW9D9OlVdSn8WeEIE1W+1uDWdPSREuYns0gaNGIG5Sp5OSOtT+ILDXrjR/DNxbaa13f2FxFPcW7XCISVQg5cnHXuM1DqEHirxfCmlahokOjac0ivdSteJO8iqc7VCjgkgcmq+07d/w0/4JK2V+346lfxx4lvNK8T2dmviT+xbKSzMrS/YRc7n3YAxgkcfyq14K1iTVtUmC+Nf7bjiiy1v/ZX2baSRht2Bnvx71Nr1vrtn40tdZ0nRP7ThSwa2ZftSQ7SXz1b2Hp3rU0bV/EV7feVqfhf+zbfYT5/9oRzc9htUZ59amO33/qOX+RxlprerahNqLz/EOx0kw3s0MdrPbW5YIrYByxB/TtXYeCtXv9a0JrjUAjyRzvFHcRoVS5Rekij0P9Kz/Dfg2zS31Ftb0SxluJtQnljeaGOVjGzZXnnH0q/4M0u80XTb2wuoTFDHfTG0G8MPJJyuME4HXg80R217f5A/1/zOkrlfHuqX2k6Jay2F+thJLexQvcMiuERs5JDcYHX8K6qua8aaPca3p1hbW9stwqahDLMjFceWCd2d3BGO1J7r1X5jXX5nKz+IdV0e4s5oPG+neIjLcJC1hFbRK7hjgkGMkgj34+vSr/iPWNSXxtJpcXiy20GzSySYNPBC4dyxBAL45x79q7Cz0HR9Pm86y0mxtpcY3w26I35gVhT+GU1Dx/cahqOmW11p509Io2nRJAJA5JwpyQcHrin1S9fyJ7v0/MreEta1O51+90ufVrfXLOKASrqVvCqBXJx5Z2naTjnis7xBF4y0Qaew8ZecL2+jtAP7LhXZvz83fOMdOPrW7pnh99G8cXVxp9jHbaRc2ShhBtRBMrH+AHrt7gYqfxdpd5qiaMLOHzTbarBcS/MF2xrnJ5Iz16Dmmvs/11H3/roLbaP4jh0u+huPFJubyVR9muBYxR+SRnqvIYHjOfwrHTxzMuhNaSwA+KUk+xmxA5aY9H/3MfNnpjvXdVy0miXLfE2HWRaobNdNMJnyuRLvPGM5+73x7Ut3Z/1/WwbK5u6VBeW2mQRaheG8u1X97PsVNzd8BQAB6VcooobuCCiiigAooooAKKKKACiiigAooooAKKKKACiiigAooooAKKKKACiiigAooooAKKKKACiiigAooooAKKKKACiiigAooooAKKKKACiiigDW8Q/8fVp/1zf/ANkrk5PFHh+GV4pdd0xJEYqyNdxgqR1BGeDXWeIf+Pq0/wCub/8AsleFaLBdSHV2h8BWOtr/AGlcf6XNPCrfe+7h1J4/rS62DoetC5gNr9qE8Zt9m/zQ42beuc9Me9Zn/CWeG/8AoYNK/wDA2P8AxrlPCUaR/DTWSpKF2uy9rtIFq2CDEPYdfxrI8P8AhnX7nw9p88GieCZYZLdGSS6tJGlYEcFyBy3rT6/d+IdPv/A9Ol1fTbe2huZtRtI7ecgQyvMoWTPI2knB/Cpri6t7NFe5uIoEZgitK4UFj0Az3PpXEeONLt7m18LaXcQRJBJqEcMkUA2ooKMCF9B6Vma1fXCaHBoWpOz6hp2qWq+Y3W4hL/u5Py4PuDR1+dvy/wAxdPlf8/8AI7668Q6LY3DW95rGn286Y3RTXKIwyMjIJz0otPEGi39wtvZ6xp9xO2dscNyjscdcAHNZni7Q9Jn0DWL6bS7KS8FnKwuHt0MgIQ4O4jORgY+lN8G6JpMHhzRr6HTLKO8ayiY3CW6iQkoMndjOTmhdb/1v/kN9Lf1sb15qFlp6I97eW9ssjbEaeVUDN6DJ5NTu6xozuwVFGWZjgAeprybxNrvhrWvF9/Z6/qIhsbC3a2t1WJ3zO/35PlBGVwAM9xXSeGPECa/8O7pjMJbm0t5LeZhn5yqHD88/MMHnvmk37jkv6/r9R295ROzgnhuoEnt5Y5oZBuSSNgysPUEdakrn/A3/ACI2i/8AXqn8q6CqkrOxMXdXCqN9rWlaZIsd/qdlaSMNyrPOsZI9QCavV5x4ujlk+ItisPh+DXG/sxv9FnkjRR+8+9lwRkf1qeqRXRs7yx1TT9TV20+/tbtUOGNvMsgX64PFOvNQstPRHvby3tlkbYjTyqgZvQZPJri/Dvh/UP8AhLI9ak0Cz8PW8Vu0LWttKjmck9TsAUAY+vArB8Ta74a1rxff2ev6iIbGwt2trdVid8zv9+T5QRlcADPcU29v6/r/AIIlrc9Vuru2sbdri8uIreBMbpJnCKM8DJPFSCRGiEqupjK7gwPBHrn0rk/BGsW3ivwcILox3TQqbS6DAkSYGA2Dzhlwee+fSufNrrEN/wD8K9ScCwkXzkvd+ZVsskGLH97Py59D0pta2/r+uoLa7O+bXdISzivG1WxW1lbZHMbhNjt6Bs4J4P5VPe6hZabAJ768t7WIttEk8qopPpknrwa47xtpdl5fhbSlgRbI6ikHlKMAJsYY/Kud8Sw6ne+E76PVLadE0S18lJZUKi5lMmwSL2I8sdfVzUt6NjS1SPTbzXNI09kW91SytmkXegmuEQsvqMnkUllrukalOYLHVbG6mC7jHBcI7Y9cA9K4DXrC91Lxno8FjaaTdTDR9xj1WMvFjcOQAPvf/XrpPC2hajpt7NPqOleGbXMe2OTSbdkfryGLDpVW1+8m+n3HRWuoWV88yWl5b3DQtslWKVXMbejYPB4PWmyarp0UVxLJf2qR2zbJ3aZQIm9GOflPI4PrXmegLJobah4ngDtCmq3EGpRLzug38SY9UJz9Ca6Lwrb2mpX/AIsiuIYbq1l1LJSRQ6ONikcHg9jSWv3X/L/Mez+f+f8Akbv/AAlnhv8A6GDSv/A2P/GtK2ure9t0uLSeKeB/uyROGVvoRwa4RvD2if8AC00s/wCx9P8Asv8AY5k8n7Kmzf5uN23GM44zXd21rb2VulvaQRQQJ92OJAqr9AOBR0uD3sTUUVheMtVm0TwhqV/bnE8cW2NsZ2sxCg/gTmk3ZDSu7GxDcwXHmeRNHL5bmN9jBtrDqpx0PtVCfxLoNtO8FxremxTRna8cl2isp9CCeKk0PTY9I0SzsYs4ijG5iclmPLMT3JJJ/GvNrKG5k1/xGYfBFlryjU5M3E80KFOB8oDqTjv+NN/Fb+uglrG56guoWTWBvlvLc2YUubgSjy9o6ndnGKpw+JtAuJkhh1zTZJXOFRLuMsx9AAea4xdBvNF8A+LJbu3gshexyTR2MD7ktxsxjPTJ9uOBWBqFvcjwTul+Hdhbw/ZE3akk0LOq7R+92qA2e/X60N7/ACBa2+Z7DdXdtZW73F3cRW8CfellcIq845J4HNU7XxDol9cpb2msafcTvnbFFdI7NgZOADnpRY2Nrc+HLOzuNmoWxt4wWnjDCYADDFT64BrlvAOkabHea/cJp1os1vrFxHDIIVDRJgDapxkDk8D1p295oSd4pnZHULJb9bBry3F4y71tzKvmFfULnOODT2urdbtbRriIXLqXWEuN7KOpA64968913SZtT+JF5JZSeVqVnpcVxZvnjzBIflPswJU/WrVhq8Wt+P8ARb6NDGzaXOssTfeikDgMh9wc0lrb5/r/AJDel/l+n+Z3X2iH7SLbzo/PKbxFuG7bnGcdcZ71JXJ+P3On6JFrsJ23WlzpKjDqyswV0PswPP0FdUjB0Vx0YZFC2BjqKKKACiiigAqleazpenSLHfalZ2sjjKrPOqE/QE1drjrWXSPCMl7BeXv9o6vfzvPJFBbmS4kB5VdiliABwM4H0oA69HWRFdGDKwyGU5BFOrmfBGmXmm6Tdfa4Psi3N5LcQWeQfs0bHITjgdzgetdNQAUUUUAFFFFABRRRQAUUUUAFVjqFkt+tg15bi8Zd625lXzCvqFznHBqzXm+u6TNqfxIvJLKTytSs9LiuLN88eYJD8p9mBKn60dV/XQOh6E11brdraNcRC5dS6wlxvZR1IHXHvU1cDYavFrfj/Rb6NDGzaXOssTfeikDgMh9wc131HT+u4df67BRRRQAUUUUAFFFFABRRRQAUUUUAFFFFABRRRQAUUUUAFFFFABRRRQAUUUUAFFFFABRRRQAUUUUAFFFFABRRRQAUUUUAFFFFABRRRQAUUUUAFFFFAGt4h/4+rT/rm/8A7JXMaPottokFxDbPK63FzJcuZCCQznJAwBxXT+If+Pq0/wCub/8AsledeJPFus6BqEcUfhn7Xazzx29vc/b0TzZHHC7cEjnIyeOKOoWua9n4btLKw1OyilnMOoyyyyBmX5DIMMF44H1zWHD8OoraBIIPFPiiKGNQqRpqAVVA6AALwK2ZtbvbLwlcaxqGlfZrq3heV7P7QHxtzgbwMcgA9OM1BofiuLWvDlxqYtjBcWyMZ7RnyyEDcBnHQjBBx3pOyv5BvbzLMvhu2uINJinu7yZtMmWeKWSQM8jKCPnJHPXtiote8I6b4ivbG8uzNHcWbh0eFgpYAg7WyDkZGaq/8JJrN3oOl6npHhz7ebyLzJIvtyReT0wMsPmzz2HSs3TvGviXVJLhbXwXvFtcNbTn+1IxsdcbhyozjPbiq1vbqLS1zsr+zj1HTrmymZliuImicocEBgQce/NMstPj0/SLfToJJRHBAsKSEguABgHpjP4Vha74o1LTtet9I0vQf7TuJbY3B/0xYdqhtp+8MHt3qzo2reIb29MWqeGP7NtwhIn+3xzZbjC7VGfXn2pLVf10G9C9oei2nh/S47Cz3mNWLNJIQXkYnJZiAMmq58NWX9rahqEck8cmoW/kXMaMNj4GA+MZ3AHGc49qwYPGfiHUJLs6Z4P+129vcyW/nf2lGm4ocH5WXNa+meKotT8OXuqJaSxTWXmpPaykBkkQZK5H8/0pOzV32/Aavey/pmXB8OYbWBILfxR4nhhjG1I49QCqo9AAvFdVp1l/Z2nw2n2q5uvKGPOupN8j85+Zu9clZeLvFeoWUN5a+B/Mt50Ekb/2tENynocFc1sar4lbRdEtLu906X7fdMkUdhE4djMw+5u6YHrVO63JVjfrOfRrd/EMetl5ftMdsbYKCNm0tuzjGc596wI/GWpWd9aw+IPDU+lwXUohiuVuknQOegbb93NT6/4i8QaPNdyW3hb7Zp9vH5hu/wC0I48qFyx2EE8c/XFLbUdr6HTyKXjZA7IWBAZcZX3GaoaHotp4f0uOws95jVizSSEF5GJyWYgDJrH8PeI9e1qS1luPC/2PTriPzFu/7QjkwpXK/IADzx+ddTTtYL3Mu30G1tPEF3rMDypNdxLHPECPLcr0cjGdwHHX8KVtDtm8Sprpeb7UlqbUJkbNu7dnGM5z71b1C6+w6bdXezf5ETy7M43bQTjPbpXG2/jTxNcabHqSeCWayeMTCRNTjJKYzkLtz07Ur/gP9TqdU0W21afT5p3lVrG5FzEIyACwBGDkHjntina3pFvr2j3OmXTypBcKFdoiAw5B4yCO3pSadrNnqehw6xC5S0li83MnBUd8/TBz9KxfC/jRfEd9NayadJZN5QubUyPu+0Qliu8DAxyBxz1oa3j/AF/Wgk/tEureC7XVr22vBqmq2M9vb/Z1eyuBESmc8naTUujeFf7HvvtX9v67ffIV8q9vPNj574wOakl8QtaeKodGvbPyIbpC1ndiXcsrj7yEYG1vxOacuvtceKW0aztPPS3j33lz5m1YCfupjB3MeuMjAoX5gybS9Bs9Ks7y0j8yaG7nknlWYhsmT7w4A4qDw34WsPC0FzBp8lw0dxL5pEzhtvGABgDgAd81S8PeMV1zVb6xlsvsht3kWJzLvEwjbax6DBGVOOfvVX0rx1/acusgaaY4tPtzcxOZsmdPm2nG35chQe/Wleyv5fgFr6ef4m8dFtj4jGub5ftQtfsmzI2bN27OMZzn3rSriLLxd4r1CyhvLXwP5lvOgkjf+1ohuU9DgrmrviLxbd+HdG028m0V5bq7kEb2iTgmNipYgMAQ2MY4xmm9Nw3OqrN1/SI9e0G90uRtguIyofGdrdQfwIBqnqnii3stEsdVtYxd295PDEhD7eJDjPQ9PSqmv+IvEGjzXclt4W+2afbx+Ybv+0I48qFyx2EE8c/XFKWzTHHdNGr4euLu40WBb+3eC9hHkzqykAuvBZSfvKeoI9afpejW+kzX8sDys19ctcyeYQQGIAwMAccd81j+HvEeva1Jay3Hhf7Hp1xH5i3f9oRyYUrlfkAB54/Oupqne92SrWsipqmnQ6tpV1p87OsNzE0TtGQGAIxxkHmoptHtp/D7aNIZDbNbfZi2Ru27duc4xn8K0KKVug+tzLl0VX8PJo6X99AiRJEtzBKEmAXGDuAxnjB49aydE8C22g6l9st9b1uXMjSyQz3QaOV2GCzqFG498+oFdVRTvrcOljOTRbaPxFLrYeX7TLbLbMpI2bQ27OMZzn3qlb+EdNtfFcviKAzJdyoUeMMPKJOMtjGcnA71vUUgOa8WWVxri2mhRQyfZ7iVZbyfbhEhRgSue7MQAAPc10oGBgdqKKFtYAooooAKypvEFlBO8LwakWRipKaZcupI9GWMgj3BxWrRQBlReIbKaZIkg1MM7BQX0u5UAn1JjAA9zxWdp/g4aUZ2std1SJ7iQyyuUtmZ2PUlmhJP5101c14l8baV4cjMZnhudQMiILNJQH+YjlsA7cA55HP40dfMOht2VrNaRMk1/c3rFsh51jBHsNiqMfhVqiigAooooAKKKKACiiigAooooAKzk0W2j8RS62Hl+0y2y2zKSNm0NuzjGc5960a5XUvGsWleMYNDuLMi3kjR3vfM+WMuSqhlx0JAGc96Fugexct/COm2viuXxFAZku5UKPGGHlEnGWxjOTgd63qyJtb8nxXa6H9nz59q9x52/wC7tIGNuOevXNa9C2DqFFFFABRRRQAUUUUAFFFFABRRRQAUUVleItcj8PaNLfvEZ5AVjhgU4MsjHCqOvX6UAatFY/hvXR4g0xrlrZrW5hmeC4tmbcYpFPK5wM9j+NYf/CYa/dalqNtpXhP7dDZXLW7Tf2jHFlh/ssvuPWjrYOlztKK5vS/Fg1DSdUuJdPltb7TAwubORwcMF3DDDgg+uPwrJt/Gnia402PUk8Es1k8YmEianGSUxnIXbnp2oA7qiubu/F9vH4b07W7S3aeC+miiVHbYV3nHPB5B7frXSUBcKKw5fELWniqHRr2z8iG6QtZ3Yl3LK4+8hGBtb8TmnLr7XHiltGs7Tz0t4995c+ZtWAn7qYwdzHrjIwKFqBtUUVX1C6+w6bdXezf5ETy7M43bQTjPbpSbsrsaV3YsUVwtv408TXGmx6knglmsnjEwkTU4ySmM5C7c9O1XdV8cx2mgaTq2nae98mpSBI4jJ5bD5SfQ5PykY9e9N6biWp1tFcp4j8bw6JolpqVpafbxcx+cqCXZiIAEuTg92UY9Wpur+J/EGnJNc23hT7Xp8UAnNz/aMafLs3N8pGeOR74oel79AWux1tFct4e8R69rUlrLceF/senXEfmLd/2hHJhSuV+QAHnj86gl8Zand3t3F4f8NTapBaSmCW4a6SBfMHUKGyWxQ9HYFqdhRWP4d8Qw+IbKWZLea2nglMNxbTDDxOOoP59a2KACisPxTr8vh3TYbmCx+2zTXKW6Q+cI8s2cfMQax38Z6zpssD6/4Ul06xllWI3KX0c+xmOBlVAOPf8AnQtQeh2lFZXiLXI/D2jS37xGeQFY4YFODLIxwqjr1+lM8N66PEGmNctbNa3MMzwXFszbjFIp5XOBnsfxoWobGxRXHy+MtTu727i8P+GptUgtJTBLcNdJAvmDqFDZLYq7YeKZtX0G6vNM0maXUbWTyZdOmkWF1kBGQWPHQ5z3xR0uHWx0dFcH/wAJt4mGsDSf+EJ/04wfaBF/asf+r3bc52469s5rsdMuLy60+Ka/sfsN0wO+380S7Of7w4PHP40dLh5FuiiuU1fxVqtp4kbRdJ8Pf2nKlstw7fbVhwpYjow9vXvQB1dFczo3iyW81f8AsfV9In0nUmjMscbyLKkqjrtdeCR6Vf8A7c/6d/8Ax/8A+tWdSrCnbne5cKcp35Vsdb4h/wCPq0/65v8A+yV5H8Q/FOjQX2lafJebbqy1S3ubiPynOyMAknOMHgjgZNeueIf+Pq0/65v/AOyVk1p1TJ7nK+IdVsta+G+rahp83nWstnNsfYVzgEHggHqDWJqsMujeHrPxDaRu8Mulpa6jEg+8hjwkv1UnB9j7V6LRSavfz/4P+Yk9U/66f5HP+Bv+RG0X/r1T+VUPAn+s8Tf9hy4/9lrr6Kpu8m+/+YkrRSPMPHX/AAjf/CfWP/CUf8eH9nNt/wBZ9/zOP9Xz0z7VqeC7nwDHqssHhV8XksWXXE/KA/8ATTjvXd0Uo6Ib1PMPDHhX+2YdXuf7e1yx/wCJpcp5Vld+XHw3Xbg881e8M/ufh9r9g2wy2Ml5bu4XDSEA/M/qxB6+1eg0Umvd5fKw09b+dzxHRf8AhVP9iWX9qf8AH/5K/aP+Pr7+Ofu8dfTiu98QX+ly+GtMuRpMupaIzI3nwF1ktVA+WVRjfx6ggiuxoqm7iWh5YviSE3NtD4P1/WNVunnQSWdzE0sYjz8xZ3QMox33Gu98Uf8AIpaz/wBeM3/oBrWoqWrxsOLtK5jeEv8AkTdF/wCvGH/0AVs0UVUndtkpWVjO1/8A5FzVP+vSX/0A1xXhrwPFqHhbTJp/EHiDyp7VGe1W+xDgj7oXHC+2a9GopLr/AF3GzhfGUTx6PY+DNAijjnvh5aoWIWKBOWLEc4PT1OT3rK1e08YaOdO126ttENvo3Bj03zRIYDhXXDcEAc+2M16fRQrrXr/X9feGm3Q5vxZBZa14HvLkHzI0tjeWsyNgq6qWR1PY/wCNHgSzhtvCFhOgJmvIxdXErHLSSPyWJ710lFG17f1/Wn3B0X9f1/wTzTQ/Dz6/ouoCC+axuItYvAJ1j3kxv8rrjI6gjnsQDUnkRWvibxlbwoEii0eJEUdgIyAK9HopNaW8rfhYaet/63ueI6L/AMKp/sSy/tT/AI//ACV+0f8AH19/HP3eOvpxXa+Ibizu18Fz6e++zfU4jC2CMpsbHXn867miqvrfzuTbS3keVeLYZfD9zb6QsbnS73U4LqzYD5YH35ki9gSdw+prv/FH/Ipaz/14zf8AoBrWoqWvd5Sk7S5jG8Jf8ibov/XjD/6AK2aKKqTu2yUrKwUUUUhhRRRQAUUUUAFFFFABRRRQAUUVlTQa+07mDU9NSIsdivp8jMB2BImGT74H0oA1a434nf8AIof9vcH/AKGK3YrfxAJkM2p6Y8QYb1TTpFYjuATMcH3wfpWrR1TDo0FFFFABRRRQAUUUUAFFFFABRRRQAVw9zp9vqvxI1awu03wT6KiOPrIeR7jqK7iijr/XawdP67nmmh3V6fiVZabqYdr3TtPmgeZhxOm4FJB9V6+4Nel0UUdA6hRRRQAUUUUAFFFFABRRRQAUUUUAFee6+2s+I/GcUGhJYPFoREkjXxfymnYcD5eSVHPsSa9Coo63DpY8602TXfDfjZZ9fTTlttdIhLWBfy1nUfITv6FhkcdePSotF8M/23rXiWf+29asNmqSJ5dhd+UjcA5Iweea9Koo/r8gOafQLHw/4S1iGzErtLbyyTTTSF5JW2HlmPWue8NeB4tQ8LaZNP4g8QeVPaoz2q32IcEfdC44X2zXo1FHf5B0scN49hs9F8H6dFEggsrS+tsKASERWz9T/OrafE/wdJIsaaxlmIAH2abkn/gFddRQvMH5GB41sLe/8I6j56ndbwtcwupw0ciKWVgexyKi8CWcNt4QsJ0BM15GLq4lY5aSR+SxPeukooWl/wCv6/4APW39f1/wQrO1/wD5FzVP+vSX/wBANaNFKSumhp2dzznw14Hi1Dwtpk0/iDxB5U9qjParfYhwR90LjhfbNaHiiyt9Ol8H2dpEsVvDqsSRoOgAVq7aiqbu7+dybaW8rHmvinwuuieD/EFybw3CNCIrWIx7RbRGXeUByc8t144UCus1n/kQb/8A7Bkn/oo1vUVLWjXf/glJ2kpf10/yMbwl/wAibov/AF4w/wDoAribnWPDtlqF5/asmq+FtSM7GRbSSQx3HpIAFKNn12/nXp9FVJ3lcSVo2OV8E6lqep219JePcTWSz4sbm5gEUk0eOpUADGehwM11VFFISON+JMP2nRdNg82SLzNUt08yJtrrkkZU9iO1TW/gCxW6hmvtW1rVFhcSJDf3hkjDDoduBmusooWn9eg3qee6+2s+I/GcUGhJYPFoREkjXxfymnYcD5eSVHPsSaZp0mu+G/Gyz6+mnLba6RCWsC/lrOo+Qnf0LDI468elei0ULT+v6/qwPU8wudY8O2WoXn9qyar4W1IzsZFtJJDHcekgAUo2fXb+ddL4J1LU9Ttr6S8e4mslnxY3NzAIpJo8dSoAGM9DgZrqqKFogerucg3/ACV5P+wGf/R1dfRRR0S/rcHvcK891PxFpXhz4o3Vxq119nil0uNEby2fLeYTj5Qa9Coo63DpY4O21OLxh430nUNIjmfTdLjmMl40bIsjuu0Iu4AnGMmui/sWX/nqv5VtUVlVowqpKXQ0p1Zwb5TW8Q/8fVp/1zf/ANkry7xK2reI9fm0bRNQuLIabbmeeaGQpvnYfu4yR27n616f4l3ia2MYUyeVJtDHAJ+TGTXmNh8MtIuIHuvElut/q1xI0txMk8ipknooBHAHqK06kdDZsNbvNZ8FNqOnxK2p/Z2XyX423CggqQenzDv7Vw8RU2iS3fjnWtN18puaLUGMNusvXbsZQpX6Ejv7V0+n+CZdIk1ew0y8ez0a+iDQiGZxNbTDglT3BAB5bPGKjk03x9LZtpst/oEts6eU11JDIZmXGNxT7hPt0pvV3QlorE/iOfxD/wAIpp5tJMzyvGt/c6cvmlYyPneIdT26DODWJpzRQ6vZnQ/HF1czGZVuLDW7hsyoeoRWUMG9MCugfwrfWfhzS7DRtYltrrTcFJHz5c/qsiA8qe3XFULvw94s8Rm3ttfutFgsYpkmP2CORpXKnOMv936jmn9r5/h/XQWvL8v6/wCHM7xzdXI8Z2VoLjxGLZrEyGHQ3PmFt+NxXpjHf6VoeCot2qTS+Z40GyLGzXW/dNkj7o7sMfrV3XtG8RP4qttb0F9L3R2htmW+MmOW3ZAQfTvV3R/+Ew+3f8Tz+w/sew/8eXneZu7fe4x1pR0X3/qOW/3HI3rzz6vqDeKPEOuaKFuGSzSyLRW5hH3W3qpUk98kEV0Wiz6yPCeoGDVLLW7mPzBYXMLg+YMfKJO24H3+tRf2X410qaaLSNU02+s3kMkf9reaZYgf4Qy/eA7ZqXSfCN1baXq6XeqMmoaq/myz2KmEQtjA2Y549e/elry28v6/4cf2vn/X/DHJRFTaJLd+Oda03Xym5otQYw26y9duxlClfoSO/tW74tk1WfSfDNuupm2vLy7jimuLCZlRiUbkEYyucHBqaTTfH0tm2my3+gS2zp5TXUkMhmZcY3FPuE+3SrEng+aDTvDNjaXCPHpF0k0jzEguoBzgAHnJ6frVb/eidV9zOZ8T+JdQ1Xwvmzu7izutPtjPqBt5CjLMH8oRkqR/EHbH+yKf4svLo+JNJtjc+JDA+mCVotEkPms+77xHQj1P0rsPEvhtNU8OarY6bBaW13fgF5CmwOwYHLlRknrzzWbqmg+I01+w1XRJNK8yCw+ySLemTB5ySNo9h3/Cp66/1o/+AV00/rVf8Eg8FRbtUml8zxoNkWNmut+6bJH3R3YY/Ws3wvrOpWGr3d1qV9NcaVe6nNZKZpC32WRWOzGTwrZ2+xArrNG/4TD7d/xPP7C+x7D/AMeXneZu7fe4x1qvpXhQx6Bq2lamYpI7+8nnBiJO1XOVPIGGGM+xFVfW/l+qJ6W8/wBCppEdzrk/iuwn1O/hRdR2RSwTlZIVAU4QnO0fT1NYp8NXI8drof8AwlXiX7KdON3v/tE79/mbcZxjGPaul8F+H9U0GPUjqt3DdT3Vz5oliJywChctkDBOO2atnRbk+O11zfF9lGnG02ZO/f5m7OMYxj3pJWa9P0/zHfR/11/yNLTLH+zdPis/td1deWCPOupN8jZOfmbvVuiigDzrxBfaza/EGa4sLmeS30/T0uprASHZMm9lfC5xuA5B9q1/7VN74+0f7JeSPp9zpckwRXOx/mGGK9M4rRi0W5Txxc62Xi+zS2CWwQE79wctkjGMY96xtO8G3+k+Mm1K1uLd9LjglW1tnYhomchiowuNm7P0z0pLS1/P9f8AgA9b/L9P+CReJW1bxHr82jaJqFxZDTbczzzQyFN87D93GSO3c/Wrd1r8mp/DC91WCR7e8WykEmwlGimUEMPUEMD+lVbD4ZaRcQPdeJLdb/VriRpbiZJ5FTJPRQCOAPUUL4GudOtNf0vSJII9J1K2IghlkcmCfG084OVI5JzngcUNPla6/r/X5IatzJ/1b+tfvKVhrGoRaEPD0l7O+q3ZhFpcO5aQwzLuaTPXKASDP+ytZEmqaj/wrCymOo6o0zat5Ly287G4ZN7DarZyTjoPpXpmn6Rb21rYNPbW731rbLALgICy4XBCsRnHWuR/4QrWYfBtrplvPYG/ttS+2q0jv5RAcsAcLnuO341Uvi/ruv0Jj8P9dn+pm6NF5+s2cfmfEmPMqndetiDg5+f/AGeOa9Srk4P+FhfaIvtH/CMeRvHmeX9o3bc84zxnFdZR0DqFFFFIYUUUUAFFFFABRRRQAUUUUAFcr4w1DURdaRoel3P2S51SZ1a527jFGi7mKj1rqqwfFHh6TXIbWazvDZ6lYy+daz7dwDdCGHcH/PpSY0Z0PhbW9IvLW40rxJfXieYPtVvqs3mo8ffYQuVb0/zme3u7k/E68tDcSm2XS45FhLnYG8wjdt6Zx3qk+geKtdntovEd/pkWnwSiV4NNWTdcFeQGL9B9P/ri7rmgau2vxa94fu7WK+EH2aaG8VjFKmcjJXkEH0p7Wv5/kK17/L8wu7q5X4labaLcSi2fTpXaEOdjMGGCR0z71zN688+r6g3ijxDrmihbhks0si0VuYR91t6qVJPfJBFdLomg6x/wkD694hu7SW8EH2eCCzVhFEpOSctySar/ANl+NdKmmi0jVNNvrN5DJH/a3mmWIH+EMv3gO2aVrW+f5j728vyJdDtLzVvDFzY3XiMXkZl22+pabOFm8sEEBmAwH7Hrwa54+GrkeO10P/hKvEv2U6cbvf8A2id+/wAzbjOMYx7V1nhbw9caIL+5vrqKe+1CbzpvIj2RocYAUf1PJqQ6Lcnx2uub4vso042mzJ37/M3ZxjGMe9V9pf10/wAxL4X/AF1/yMfXTqOlw6H4Y0vU7n7TqEsiNqF03mzLGo3Mc8ZPOB/k1R1mw1LwNax67a+IdUv7eGVFvLXUJvOEkbMASnA2kZ/z0PS+J/D0utw2k1nd/Y9SsZfOtZ9u4BsYIYdwRWPL4e8U+IJreDxLe6WmmQyrK8GnrJm4KnIDl+gz6f4EEd/n+APb5fiUNf1LUbPx9LdQXlz9j0+whuprVZD5bxmQrIdvTIU7umflqO51e9vvHej3ttf3C6ZPeSWkUMcrCKZY0O5yAcNlyRn0UV1S6DKfGd3q0vkPZT6etoYjksSGJORjG3B9ai1Pw002r+Hp9PS1trPS5pHeFRs4ZcYQAY6/SktLev6/5CfX+un+Z0lYvi+ea28H6vPBK8U0dpIySRsVZSB1BHQ1tVmeIdOm1bw7qOnwMizXNu8SNISFBIxzgHiplfldio7o5Xw9q1/a6FdaRql3JLejTzeWd07nfNEyZ69dyMcfTBq/pevHTPhjZ6zeySTyJZK5LsWaVzwBk8kkkCpNZ8LXOo+GLG1triODVbGFUhn5252bHU8Z2sMjp6HtVF/BN5faN4f0TUZoG0uxjzexxSOGncDCgHA+XuTkH+dVLVu39b/16kx0Sv8A1sQeHH1rQNcsoNe1Ce5j1qAuPOcsLe5GWMa5+6Cp4HqtReINR1Gy8fzXMN5c/Y9PsYrma1WQ+W8ZkKyHb0yFO7OM/LVrUfhboQsnk0K2+wapGRJbXBnkYI6kEZBY8cela1roV63iqbV78WjRXGmJaSwoSwLhstwVAK89/wAqfVPt/k7f5BbT1/zVzmrnV72+8d6Pe21/cLpk95JaRQxysIpljQ7nIBw2XJGfRRWNPdXNz4i1xZ7jxxKsN88cY0Vy0KKMfKc9D7Dtiu+1Pw002r+Hp9PS1trPS5pHeFRs4ZcYQAY6/SsqHRvGmk6pq0ukPoDWt9dtcj7WZi4zgY+UAdvepX+f6f8ABKf9fj/wDX8GRbNGaTzNebzJSduuNmdcADj0X/69dFWXon9vfZ5f7f8A7N8/f+7+wb9u3HffznNalUyUFFFFIYUUUUAFFFFABRRRQAUUUUAFFFFABRRRQAUUUUAFFFFAHL+Bru5u9P1Rrm4lmZNUuI0MjliqhuFGegHpVPSb3VZD4y+yyPc3dvdutnFK5KqfLBVRk4Az24FJ/YHinRL+/bw5eaU9jeztcGDUEkzC7fe2lOoPvV3SvClxaaBqNrc6pN/aOoytPPe2xMbJIcY2Y6AYFLp8rfPQez+f4anHRFTaJLd+Oda03Xym5otQYw26y9duxlClfoSO/tW743vdRg8FaXK13Ot1LcwJPJpMpDSAg7vLPGc9h9Kmk03x9LZtpst/oEts6eU11JDIZmXGNxT7hPt0qTU/CF6vg/SdH0i4ge406eKZZLssquUJPO0E9T09O9N/qvzEv0Zz+jRefrNnH5nxJjzKp3XrYg4Ofn/2eOa9Srk4P+FhfaIvtH/CMeRvHmeX9o3bc84zxnFdZT6C6hRRRSGU9Vdo9HvnRirrbyFWU4IO08is/wAGzzXXg3SJ7iWSaaS2RnkkYszHHUk9a1L+BrrTrq3QgPLC6KW6AkEc1xelab8QtH0m1063bww0NtGI0aQ3BYgeuAP5Ulu/l+oPp8/0LXxKurm08O2rW1xfQs99FG5sXKzMpzlVx1J7D1xXP6NF5+s2cfmfEmPMqndetiDg5+f/AGeOa6bX9G1/W/DdhEX01NXt7qO5fmQQEoSQBwWx0/WiD/hYX2iL7R/wjHkbx5nl/aN23POM8ZxTjo/n/kEtV8v8xbi6utH+IFus1xM+m6xD5caO5KwzpzwDwu5ewxkiiK5udX+IMsUNxOmn6PBtlRJGVJZ5OQGA4YKv5E1o+KdEk1zRjDbPHHfQyJcWksmcJKhyCcc46j8aTwtos2iaUyXkqTX9zM9xdypna0jHnGecAYA+lEfPp/X+f4A/z/r/AC/E84nurm58Ra4s9x44lWG+eOMaK5aFFGPlOeh9h2xXaaErW/g7UJ0m8QB2SVl/tpv9IQhe3oOMiqkOjeNNJ1TVpdIfQGtb67a5H2szFxnAx8oA7e9btnB4hutGvrfWzpgupUZITZeZsAK4+bdznPpUu/s7LsVpz38w8GzzXXg3SJ7iWSaaS2RnkkYszHHUk9a3K4PStN+IWj6Ta6dbt4YaG2jEaNIbgsQPXAH8q7LTvt/9nw/2p9m+24/e/Zd3l5z/AA7uemOtaS1baM46JJlquY8Z6hdrb2ei6ZK8Wo6rL5KSoSGhjHMkmR0wP5109cffeB4PEPiO71DxGkdzaqixWNvHM6+Wo5Zmxj5ifqKjqV0J/CF3dW8mo+H9TuZbi806XMc0zFnmgflGJPU9QfTFc7/wt21/58f/AB8/4Vrw+ArbQte0/U/DMcdoEZo7yGWaRhNE3XBO75gQCBwDWn/whGgf8+X/AI+axrqpK3I/0/zN6DpRb9ovQ7fxD/x9Wn/XN/8A2SsmtbxD/wAfVp/1zf8A9krJrcwCiiigAooooAKKKKACiiigAooooAKKKKACiiigAooooAKKKKACiiigAooooAKKKKACiiigAooooAKKKKACiiigAooooAKKKKACiiigAooooAKKKKACiiigAooooAKKKKACiiigAooooAKKKKACiiigAooooAKKKKACiiigAooooAKKKKACiiigAooooAKKKKACiiigAqrZaja6jDJNaS+bEkjRlwpwWU4ODj5hnjIyOKxvHl/PpngjVLq2cpMIgiuDgruYLke4zWvpNlDp2kWdlbqqxQQqihenA60LqD6DNK1mw1qCSbT5/NSKQxSAoyMjjqCrAEH6ilstYsNRu7y1tJ/Nls38ufCNtRv7u7GCfUAnHeuN8ZQX3h7U4tX0K4jt5dXlSwuUdcqZGBCTD0ZefrXYaJo9toOkw6fa7ikYyzty0jHlmY9yTQtVf+r/ANfmD00J76/ttOgWa6k2I0ixrhSxLMQFAABJJJqtrPiDS/D0EU+q3Qt4pZPLRijNlsZx8oOOnU1magP7W8aafY4Jg0yM303p5jZSIH/x9vwFUfHtvDd3Xhm3uI1khl1VEdGGQwKMCKO3m/8AgA9L+S/4J09/qtlpdvHPeTiOKWRYkYKWyzHCjgHr60++v7XTYBPeS+VCXVN5BKgscDJHQZPU8V5nrk8ml6fb+F7yQtJaalbSWUjnJmtjJ8v4p90/QV6bfWkN/YXFncKGhnjaNwe4IxSb91yX9bB1s/63LFFcz8Pr+fUfBGnTXDM0iK0JY9WCMVB/ICumqmrOweoVWutQtbKW2inl2yXMnlwoFLM7YzwAOgAyT0HerNchpzG/+J2svMc/2baww26k/d8wbmYD1OAM+1Jb2Do2dJqOp2elQRzXs3lRySrCp2lsuxwBwD3q3XI/EP8A5Alh/wBhO2/9DrrqFqvn+iB7/wBeYVWtr+2vJ7qGCTe9rII5vlICtgHGcYJwR09abqd/Fpel3V/N/q7eJpGHrgZxVDwpp8un+H4Bcgi8uS11c56+bIdzD8M4/ChAybWvEWk+Ho4ZNVvFtlnfZGSrNuP/AAEHj36VpghgCCCDyCK8qvtZtda8Wapc3Wh6zqumwQtp9qbCz81AT/rW3ZHzdhjtXTfDvWZNQ0E6ddpNFfaYwt5I7iPZJsx+7Zl7Er+oNEdVf+v62+/yB6M6e2v7W7nuYIJd01q4SZCCGQkZHB7EHg9DVmuR1hzYfEfw/NCCDqEM9tOB/EqAOp/A5/M111C2TB7hRRXOePL+fTPBGqXVs5SYRBFcHBXcwXI9xmk3oNK7sbVjqFrqUTy2cvmxpI0ZcKQpZTg4JHzDPGRkcGrNU9KsodO0i0srZVWKCFUUDpwOteP/APFdf9PX/j9ZV63sml/wDXD0fbJu9j6C8Q/8fVp/1zf/ANkrJrW8Q/8AH1af9c3/APZK43QNZudU1HW7edIlSwvPIiKAgldoOWyTzz2xW3WxiblFFcNN43vU8TFY7WBvDsV4uny3fO8TEdQc42hsA8ULV2Dpc7misfXf+EjxB/wj/wDZWfm87+0PM9sbdn45z7Vy+j61491mS9EKeG1Wyu3tJd4nBLLjJXBPHPGcULUHornoFFcT4q8U6tpXiO10uwuNDtUltTO02quyLkNjAYEc+2PWrPhjWda1PUJEvdS8L3dukZJXSZ3kkVsjBOTgDrQtQeh1tFFUdY1SDRNIutSutxht4y7BRyfQD3J4pN2V2NK7sXqK4hNY8etZDVRoulNaFfMWwEz/AGor1xu+7nHbH4Z4q9rXit9MtdBuzElpBqF0kdwL5SjQIVJOckbSMd+KdhXOporkte8cafaW1qdI1PS7y5mu4oTEs6yHYzYYgK2eK0vFWuSaFpHm2sSzX9xKtvaQt0eVjxnHYck/SgDborB8K63c6xYXCajDFBqdncNb3UUWdoYcgrk52kEEVgWGt+ONaN/NpqeHktbe7ltlFyJg52HGTtJHTFHUDvaK5XSPGSXHhS+1jU4FgbT5JIrgQtuV2TH3D3ByAP51Vg1Lx9e26ahBpeiw20i+YlnPNJ55XqBuHygn3/GgDtKK5PxP4k1TRvDNlfx2trZ3s9xHDJFfPujh3ZySyN0GOuenaszTvEniO71K2gOteB5lkkAaO2upGlZc8hRnk4zihauwdLnf0VymueIdXHiOLw/oNtZNem3+0vNfOwjVM4wAvJOfyqfRNU8QnVpNM1/S4UbyvNivbHe1u/ONp3cq3160LUHodJRRRQAUUUUAFFFFABRRRQAUUUUAFFFFABRRRQAUUUUAFFFYfirWbnQ9Otbi2SJ3lvIYGEoJG12wSMEc0AblFFYnirXJNC0jzbWJZr+4lW3tIW6PKx4zjsOSfpQBt0Vg+FtbutYsLhNQhig1Ozna3uoo87Qw5BXJztIIIrnNY1rx9ov2Mzp4adbu7S0j8sTkhnzgnJHHHOKOtgPQaK522ufE1lo+p3etjSTLBC0luLISbSQpJ37voOnvXJWXjbxJeWUNz/bPgWDzUD+VPdSLImezDdwaOtgPT6Krae9xJp9u921u1w0amRrYkxlsclc849Ks0PQEFFcrrHiHV5NfOg+HLO1mvIohNc3F4xEMKn7owvJJ9v8AHFjRdV186o+ma9pUccgi82O9stzW8nOCvzcq3sevP4i1B6HRUVyWh+N7C6jvhq+paZZ3EF7NAkbTrGSinCkhmzk+vSrnhnxC2v3OsBXtpLa0u/Jt5bc5DptByTkg9e1C1/MDoaK4abxvep4mKx2sDeHYrxdPlu+d4mI6g5xtDYB4rU8X61qmkppcOkJZtdX14tsDdhigypOflIPb3o6Jh1OloriT4g8U6Lq2m2/iC30eW3v5xbodOeQSIx6Eh+o9cVe1jxDqja7/AGD4esrae+SITXE925WGBT90ELySfQf44AOoorn9HuvFIvvs2u6dYNEyFheWEx2Kf7rI/wA34jNcvP40159Z1S1t9Q8J2UNndNAi6nM8cjAd8BuR70dbAekUVzOm67fR+GL7V9Wn0q8FuHkVtHkZ0ZVXJGW/izmsqDXPHVzpcetW+maJNYyRiZLSOWQ3DIecBvulsf8A6u1GwHd0VXsLo3un290YJbdpYw5hmUq6Ej7pB6EVYoasC1CiiigAooooAKKKKACiiigAooooAKKKKACiiigCnq2mwaxpN1p1znybmMxsV6jPce461X8PrqEOjw22qRgXVuPJaRSCswXgOMHjIxwcEHNalFAFLUdKstWS3S+h81beZbiIb2XbIvQ8EZ69DxV2iqmp/bxps50v7P8AbQuYhcKShPocEHnpnPFF7IN2U9E0qawn1K7u2ja7vrkysYySFQDbGuSB0UD8Sat3ul2eoy2kl3D5j2kwngO4jY44B4PPXoeK55PHNt/wibanLCV1BH+zPYf8tPtXTy8deTz9Oa6HSjqB0yBtV+zi+ZcyrbqQin0GSTx65p/pYP1IdV8P6XrctrLqNos0lpJ5kDbmUo3HcEeg4PHFLrn9oHSJ4tLiV7yUeXGzMFWPdwXPso5wMk1o0VLV1Yd9blDRdKh0TRrTTbfJjt4wm49WPcn3Jyfxq/RRVN3dxJW0CufudKubXxfDrVjH5sdzELW+i3AEAcpIM46HII9DwCRXQUUutw6WKGsaLp+v2BsdTt/PtiwcpvZeR05Ug1gJ8MPB0ciyJo+GUgg/aZuCP+B111FC01QPXcyPEGlTazBaWgaNbT7Skt0GJy6IdwUDHOWC5zjjNasiLLG0bZ2sCpwSDg+45FYtxrNzF41s9GVIjbT2ck7MQd4ZWAABzjHPpW5Ruv69P0Dr/Xr+pV03TbPSNPisbCAQ20QIRAScZOTyeTye9MTSbGPWJNWSDbeyxCGSQMRvUHIyM4J98Zq7RR1uBgR6XdXvjBtXvYxHb2URgsYywJYtgvKcdM/dA64BJxW/RRR0sHW4VT1bTYNY0m6065z5NzGY2K9RnuPcdauUUmrqzGnZ3Mvw+uoQ6PDbapGBdW48lpFIKzBeA4weMjHBwQc1qUUVTd9RJWNbxD/x9Wn/AFzf/wBkryWw1q58OeIPESz+Hdeukur4yxS2dkXQrtA6kj07V614h/4+rT/rm/8A7JWTS63DpY5O58V3l54c1C407QNZhvUxFBFdWZRnduAwAJ+VepJ4rDi+HXiAeGzozeLIxZyKTJb/ANmxsCxO4/OTuPzfxda9IoosF2YfhK71G68Pwpq1tNBqFsTbz+YhHmFeN6k/eBGDkcZzVLwXaXNrJ4iNxbyw+brE8kfmIV3oduGGeoPrXU0U763/AK6B0sefeLY44fHVnfXvhy91mxGntEUgsftAVy+RkHgcZ9+a0/DOo6XLqTwaf4O1HRneMlp5tMW3RgP4SwPJ9q66iktFYHqFY3ivR5Nf8L3+mROqSzR/uy3TcCGGfbIFbNFJq6GnZ3OFTxjrw08WX/CI6sdaCeXu8ofZi/Td5mcY7/pnvS6/pOo3tn4Ut9UhGozJfxtfFIN0eNrbsgDG0Zxkiu5oqr63JtpZHD+L/C2nxafYyaRoNslymoW7FrSzUOED/McqM49aj1fStc8TeMfOs7t9JtdIXbb3EtmJPOlcfMVVsAgDjP5V3lFJDOAs9J8QeGvGNvqN1fSazb6mBbXkkNkIjEQP3bsqZyByC3YHntVXw/8AD7RtVTVLrXdHl+1PqNxsaR5YiY92VIAIBHJ5xXpNFAHn2meHby/+H+seGZlmgMNzNDZtOhUFFYNGc4+Zc9xVTVJH8R2dpp2t+BtVudWt0KRtuKWocgAt5qsBg4B716ZRR6htt5/ieUy6NfWXwv0exuNKubqW01PdPbRQGRmRZXJwpHKkdM8EEeta1hq2hR6hbtbfDvVrWbzAEn/sRE8sk43bgcgD1r0CinfW4WOL8VPMNSC6p4X/ALa0cxgwyWcHmXEMncEE5wfVcVV8LxX8niWOfTtN1jS9CSBlmg1OVvnk/h2RszFceoOD/PvqKS0B6hRRRQAUUUUAFFFFABRRRQAUUUUAFFFFABRRRQAUUUUAFcn8QormTw/bNbWlzdvDfQStFbRmRyqtk4ArrKKAORTx5vkVP+ET8UruIGW07AH1+aqOr6Vrnibxj51ndvpNrpC7be4lsxJ50rj5iqtgEAcZ/Ku8ooA4Cz0nxB4a8Y2+o3V9JrNvqYFteSQ2QiMRA/duypnIHILdgee1a3ja0ubuPQRbW8s3laxbySeWhbYgzljjoB611NFNPbyDv5lDXI3l0DUY40Z5HtZFVVGSxKnAArzjRbnRrPRLK2vvhxqs93FCqTS/2Gjb2A5OTyfxr1aikBV064W6023nS1mtUeMFYJo9jxj+6V7EelWqoXthc3UyvDq97ZqFwY4EhIJ9fnjY5/HFVv7Gv/8AoZtV/wC/dr/8ZoAwdQ/tPwx4xvNag0u51LTdSijWdLNd80UiDAIXuCP8+t7R9U13XNd+0nT7nS9EhiI8u8jCzXEh/wBnkqB9efzx0sKNHCiPK8rKoBkcDcx9TgAZ+gAp9C0B6nD+EvC9hNbapLq+hWz3D6ncMj3dopZkLfKQWGSvp2qrZR33hyw8WNpmjziWS+22EMNsQp3KAGUAY2g8k9OK9CopW0t5W/L/ACDrfzv+Z5vF8OvEA8NnRm8WRizkUmS3/s2NgWJ3H5ydx+b+LrUV/Zaj4l0Hw3Y61pV281vqYgv1MbgMqqwMm4Y+UjB3DjJPNem0U/6+4On9dTz698GWHhnW9D1Pw7p08bC9EN15Rkm/dMCCSCTgD14xVzUU1Hw14vvNct9MudS07UYY0uUtAGmikQYUhM/MCPT3/HtaKAPKdF8PInjbRtW0rwxeaTp6vKkhumcyuTG3zMhLbFHTJPJNPh+xadruvf2v4I1LVGn1B5YZ49KWddhAxhm9wenFep0UBvv/AFucxpl69z4cvB4f8PyaTPET5NtqFn9nSRsZ+6p6Hpn1rkpntHRxD4D1+w1llI36erQRCTHXzEYLjPcg16pRQ1dgjM8PRalB4esYtXk8zUFiAnbIPze5HU+9adUL2wubqZXh1e9s1C4McCQkE+vzxsc/jiq39jX/AP0M2q/9+7X/AOM027u4krKxsUVj/wBjX/8A0M2q/wDfu1/+M0f2Nf8A/Qzar/37tf8A4zSGbFFY/wDY1/8A9DNqv/fu1/8AjNH9jX//AEM2q/8Afu1/+M0AbFFY/wDY1/8A9DNqv/fu1/8AjNH9jX//AEM2q/8Afu1/+M0AbFFY/wDY1/8A9DNqv/fu1/8AjNH9jX//AEM2q/8Afu1/+M0AbFFY/wDY1/8A9DNqv/fu1/8AjNH9jX//AEM2q/8Afu1/+M0AbFFY/wDY1/8A9DNqv/fu1/8AjNH9jX//AEM2q/8Afu1/+M0AbFFVrK2mtYTHNfXF4xbPmTrGGA9PkVRj8M81ZoAKKKKACiiigDiZdDU/FuHURp7eR/Z5kacRnZ54YqCT03bT9cV21FFHSwPe4UUUUAFFFFABRRRQAUUUUAcP4kurnSfHmm6qukanf2yWMkTfYbYylWLAjPQdvWtbSfFv9raglp/wj+vWe4E+deWXlxjAzy2TXRUULRWB6u4UUUUAFFFFABRRRQAUUUUAa3iL/j5tP+ub/wDsleQ+HPDWn+NrCTX/ABCZr24uJ5BFEZ3RbZVYqFUKRg8fyr17xD/x9Wn/AFzf/wBkrzl/Bd/ZX1zN4d8Rz6Tb3UhlltjbJOm89Sm77uaXUfQq38tz4Q8Ea2tprbahNaH9x5uGltVcgBWOTnGSQSB9MU3/AIVpox0r7Sbi7Or+X5n9qC6fzPMxnd1xj8OnfvW5pvhDTrHQ7vTJ2lvftxZryedsvMx6knt7en15rI/4QfWfsn9mDxle/wBkY2fZ/syeb5f93zevt06cYpu+vfTUF0+Zk3urXGt/DTw/f3fNxJqFusjYxuKyld344z+Nem1zmteE49Q8NWujadcjT0tJI3hkEXm7dnI4JGfxqonh7xisil/HO9QQSv8AZMIyPTrT3b9f8idkvT/ML3/kqul/9gyb/wBDFddXMa/4Y1HU9ctdW0zXP7MuIIGgz9kWbcCcn7xwPyqXSdH8SWeoJNqXir+0LYAhrf8As6OLcccHcpzxSjtb1/Nje9/T8kedHQv7U8SeIZf+EM/tzbqMi+f/AGp9m2dPl25GfXPvXTlZPCHw21S7sdE/sS7yWEH2r7TtYlUD7skdOce1XP8AhD9ftdS1G50rxZ9hhvblrhof7Ojlwx/2mb2HpWvZ6FeyaPead4h1UawlzlSxtlg2qR0wp9ec0kvct5Duue77mFF8NdGOnLcfarxdWaPedVF0/mB8Z3dcY/Dp371rT+GdI8T6Tp41lo9Xa3QhLqORo1kPAZvkbHO31NZg8DawLP8AsseMb3+x8eX9nFunm+X/AHfN69OOnTtXX2Fjb6ZYQWVpGI7eBAkajsBVOzJV0ea+EPAfhrUJtbN1pvmG01WaCD9/INiLt2jhuevU811XjrQNM1fw5d3N9bebNY2s0lu3mMuxtmc8EZ+6OuelaOg6H/YjamftHnfbr6S7+5t2b8fL1OcY68fSofE+i6nrlmLSw1r+zYXR47hfsqzearDGOSNvfp61MruKS7fjYuNlO/n+BR8A6DpmkeGrO8sbbyp760hkuG8xm3ttznBJA5Y9MdawvDvhnT/G+nya94i869uLieRYojO6JbIrFQqqpGDx3zXVeF9D1PQbP7Jfa3/aMEcaR26fZFh8lVBGMgktkY6+lZsngvULO8uZfDviSfSbe5cyy2xtknjDnqUDH5c+1VJpybIjpGxgebcWfhvxv4ekuZbq30yA/Z5Zm3OEeMnYT3xj9as6DLJoehSaBdSM9vdaY13p0jehjzJET6qTkex9q34PBlvbeF9S0iO8le41FX+0Xsw3u7sMbiMjp2Gf8am1bwrFq3hi30hrpopraNBBdovzI6rt3Yz0IyCM9DUyTaa7pL8yl8Sfr+gvgb/kRtF/69U/lXQVn6Fpn9i6FZaZ53nfZohH5m3bux3xk4/OtCrk7ybJirRSPLvHmn/2l8QNOt/7D/tn/iXs32X7X9n6Ofm357envWr4N8K2tnqb303g7+xLiAfuZf7TNzv3AhuM4HHr610cug+b4ut9e+048m0a28jy+uWzu3Z/TFbNTHRff+Y5av7vyPGDoX9qeJPEMv8Awhn9ubdRkXz/AO1Ps2zp8u3Iz65967TTNJj0nwHqyJoX9jPJDM72v2s3HOzAbdk9QOlJ/wAIfr9rqWo3OleLPsMN7ctcND/Z0cuGP+0zew9K17PR9V/sW+sNW1z+0ZblGRJ/siw+WGXH3VPPrU2fs7LsVf37+Z5dovhb7VollP8A8K3+2+ZCrfaf7c8vzcj723Py59K7/wAR6JfzeFNP07SIZIbeF4hc2cNxtkaAD5o1kJ5P1IzjrVey8I+K9PsobO18ceXbwII40/smI7VHQZLZrW1Lww+r6VYx3epzDVLIiSLUYUEbCTGCdo4we4q5O+3f+vIheZx8Gm+HtJ1SxuNPj1fwvdC4VWN3DK8NyCf9WzbinPru/pXqNcafBmq6jJEniDxTPqNlFIsoto7SO3DspyNxXJI9q7KjoHUKKKKQwooooAKKKKACiiigAooooAK4X4k2Caqvh+wkd41uNTWMuh5XKNyPpXdVka1of9sXOlTfaPJ+wXi3WNm7zMAjb1GOvXmjqvVfmHR/M4vW9VuL3wzbWOoEDVdP1e2gugBgP8/yyD2ZcH860vF2iXOo6/BcahY3mqaAluQbOzm2ss2fvsu5Swx6HI9K0PEvguLxBqdjqEd61pNbuhl2puE6K25VIyOQc4Puak1fwrPdaudX0fWJtJ1B4xFM6xLKkqjpuRuMj1pevf8ASw+unb9TI8JW2kad4jkt9JvL+wiltyzaLfQSLgg/6xC5/PGa5L+w/wC1fE/iOT/hDv7c2ag6+d/af2by/wDZxkZ9c16HpPhW5ttYTV9Y1qfVb+KNooWMSwxxq3XCL3Prmruh6D/Y15q0/wBp87+0Ls3O3y9vl5GNvU5+vFPqm+36i6fP9Cp4N0G10bTXki0P+x7i4P762+1m4xtJC/Nkjoc8etdJVa91Cy02ETX95b2sRbaHnlVFJ9Mk9eDVD/hLPDf/AEMGlf8AgbH/AI0N3C1jnvirH5vhi0j8jz9+oQr5O/b5mc/LntnpmsTSvBNrPqcEd78OfsNuWy9z/bZl8vAyDtDZPOBXZatZWPjPTrZbDVbd4ra8jnMsBWZSU528NweR/hXRUR018/0QPXT+up5f4607+0vHthb/ANg/21jTmb7N9s+zYw/3t2e3p71reCvDsem6pNdN4N/sOQRbFm/tM3O8EjK7c8dBzWlrvhjUtR1+DWNL13+zLiK2Nuf9EWbcpbcfvHA7dqsaNpHiKyvvN1PxR/aVvsI8j+z44eex3Kc8elEdF9/6hLV/cecHQv7U8SeIZf8AhDP7c26jIvn/ANqfZtnT5duRn1z713Og6JcWHg++ttM0hdAv5xIY4WuzcBX24V9/Pt9Kh/4Q/X7XUtRudK8WfYYb25a4aH+zo5cMf9pm9h6Vq2/h+8udEvdM8RasdXS5+XeLZYCi46AL3zzmkvgt5Db9+/mcF/wjejWmnhtX0nX7DWEj3S6uhkuAsmMl90bMMZ9QOK9N0WUTaJZSC+W/3Qr/AKUq7RNx97GTjPpXNDwh4iWD7Evja7Gn7fL8v7HH5uzpjzeucd62be40DwnYWukSanaWiQxARpdXKI7Lk/NyRnJzzVX3JsbdFY//AAlnhv8A6GDSv/A2P/Gj/hLPDf8A0MGlf+Bsf+NIZsUVj/8ACWeG/wDoYNK/8DY/8aP+Es8N/wDQwaV/4Gx/40AbFFY//CWeG/8AoYNK/wDA2P8Axo/4Szw3/wBDBpX/AIGx/wCNAGxRWP8A8JZ4b/6GDSv/AANj/wAaP+Es8N/9DBpX/gbH/jQBsUVj/wDCWeG/+hg0r/wNj/xo/wCEs8N/9DBpX/gbH/jQBsUVj/8ACWeG/wDoYNK/8DY/8aP+Es8N/wDQwaV/4Gx/40AbFFY//CWeG/8AoYNK/wDA2P8Axo/4Szw3/wBDBpX/AIGx/wCNAGxRWP8A8JZ4b/6GDSv/AANj/wAaP+Es8N/9DBpX/gbH/jQBsUVj/wDCWeG/+hg0r/wNj/xo/wCEs8N/9DBpX/gbH/jQBsUVj/8ACWeG/wDoYNK/8DY/8aP+Es8N/wDQwaV/4Gx/40AbFFVrLULLUoTNYXlvdRBtpeCVXUHrjIPXkfnVmgAooooAKqanptprGmz2F9EJbeddrqf5j0I6g1booauCdjzYX+vwL/wgYDnUSNsWpk8fY+f3nrvAG3Hrjmu90rS7TRtMg0+xiEdvAu1R6+pPqSeTVJ9B3eMY/EH2nGyyNp5Hl9fn3bt2fwxitmnfTz/r+vmD302CiiikAUUUUAFFFFABRRRQByN7/wAlV0v/ALBk3/oYrrq5jX/DGo6nrlrq2ma5/ZlxBA0GfsizbgTk/eOB+VS6To/iSz1BJtS8Vf2hbAENb/2dHFuOODuU54ojtb1/Ng97+n5I6KiiigAooooAKKKKACiiigDW8Q/8fVp/1zf/ANkri/Evi7TvCy25vUuJWnLbUt0DMqqMs5BI+Uetdp4iIFzaEnAEb/8AsleLw32sa14i1TXLLwudY06aNrC1d72OFfKBIfAbk7jnn8KXXQfS56W95bR2JvnmQWoj80yk/LsxnOfTFcmfiVpYT7QdK1saeT/yEDYnyNv97dnOPwrM8O6mYfCGr6B4g065abS4iktnGwkle2YfLgggNgcZB7Co11ixsdBD6b440+axS3xHYanFHI23b9whSr+2CCfrTbs3YS6Jnaan4k0vSdHj1S4uN1tNt8jyhvaYsMqFA6k1l2Xj3T7jUYLG807VtLluW2QNqFoYllb0ByefrWTfahpF14O8O3Wr2VxpUckiSQTWahUspB91jngKe2QRzz61V1PxCLQ2Sf2/o/idZLuNUs2t0abJP3lMZ2hh6lRT+1bzsK/u38rncprVtJ4il0QJL9pitluWYgbNpbbjOc5z7US6zbxeILfRmSU3M8DTqwA2BVOCCc5zz6VzF5qFponxSa41O4jtbe80tYoZpW2oXWQkgseAcetFvqVnrnxQgm0y4ju4LLTXWaaFgyBmcYAYcE0lrb5/hcb0v8v0NvRPFlhr2oX1jbR3EU1m7K3nKAHwxUlcE5AI746iq9h430zUptVjghusabG0sjsi7ZFBYZT5uc7TjOK5XRdF1HUdNvrrRriC31CHVr6IyTEgeVJw3QHkEKw91qWGzi0/X/F9nAMRQaNDGgPoIiKlu0U/L9LjSu7ef62NWP4k2slst0PDniQWrLv+0fYAYwv97cG6e9a1/wCLLa1sLG+tNO1TVbe8UvG+nW3m7Rx94EjGc/oa5fw54c8S33hPTgPGDwWM1qg+zR6fHuRCv3Q+c9O9d3pOmW+jaVbadaBhBboETcck+59yeauSs2iU72OWtfiRbXjutv4a8SS+XIYpCliGEbjqrYbgjuK2/EPiSPw5BHPNpmp3kTKzO1lB5giCgElzkbRz+hrK8Cf6zxN/2HLj/wBlrQ8Y6jZWXhfUorq8t4JJ7OZYUllVTIdh4UE8nkdPWpk7Rv5X/AuKvKxJ4d8SxeJIZJodM1O0iVVZHvYBGsobOChBO4cfqKoX3j3TrXUJ7K0sNU1WW3O2c6da+asR9GORzVjwTqFleeE9Mgtby3nmgs4VmSKVWaM7BwwB4PB6+lYHgbXNJ0PSLjR9Wvbew1K1upTcLdSCMyFmJDjdgHIx09KqStJrsQn7tzpYPFulXXhq4162kkmtbZGaVFXEilRkqVOMN9ak0nxLYaz4fbWbTzfIRXLxuAJEK9VIzgH8e4rhEdb/AEPx/rNmGGl3iEW7FSokZIyHcD0J7+1W7sHw1o1vq8YxpupaalvfKq/6uXysRy/j90/hUyejfkvvdyl8SXr+FjvNK1KHWNJtdRt1kWG5jEiLIAGAPrgn+dXK5/wN/wAiNov/AF6p/KugqpKzaJi7pM53XfGFtoWqQ6a2mapfXU0RmVLGASkKDjkbgf0pNK8Xf2rqEdn/AMI9r9nvBPnXll5ca4GeW3HFYPiTSv7Y+J2nWv2++sf+JY7ebZTeVJw/TODxXUaH4e/sNpm/tjVtQ80AY1C580JjP3eBjOaUdrvz/Mct7Iyp/H9vHqF5ZwaBr961pMYZJLSzEibh7hv51qWHiJL3SLvUpNM1OxjtQxaK9t/KkYKu4lRnkfj1rgLK00m41/xG1/4vvdFkGpyBYYNSS2DjA+Yqep7Z9q6+EWEfgjVYLDXJNYSO3m3XEt2tw4JQnBYfyqb2hfyKt79vMqw/EWK5gSeDwt4olhkUMkiaeGVgehBDcitu+8TWOmaFDqt+lxbJMFCW8kR84u3RNg/i9q8+8P6foMnh7T3n+IWpWczW6F7ZNajjWI45UKR8oHpXVeKrjQv7J0dr+5ujamdGttUtnVxDIB8sjNyMHnnBFXJW08yFqTWXj3T7jUYLG807VtLluW2QNqFoYllb0ByefrXVV5rqfiEWhsk/t/R/E6yXcapZtbo02SfvKYztDD1KivSqOlwvqFFFFIYUUUUAFFFFABRRRQAUUUUAFISFUsxAAGST2pa5H4g6jdRaKmj6ZG8up6qxt4Y42AbbjLnJ4A28Z7ZzSb7DXmXvD3jHTPE1zdQWK3CPANw85AolTJG9OTlcjrxTtc8WWGh3UVm0F5e30q71tLGAyy7f72OMD8a4e6u9b0G80jWJvCbaVY6ZGLW5kS+jn3W7EDBVRng/MD61ua1eaKPFqynVp9E1Q2Y8q+fy/s9zETnb8+VOD/un3NN9Lf1/X+Yl5/1/X+RuaF4t0/Xrqazjhu7O+hXe9pew+VKF/vY54/HvVO98eWFtf3Fpaabq2qPbNsnfT7QypG3dScjms7Rtc+0eNoLA3ela432R2/tG0twskAB+6zBmUg+gI56iqdlf6RDc6gdK8Tnw9M127XNhqSREeb3YBiDg9eGx9KO39dQ7/wBdDqoPFulXXhq5162eSW1tlZpUCYkUqMlSpxzWkuowtpA1MK/kmD7RtwN23bux1xnHvXC2l9L4h8IeLobe2spJFEsa3djCY0vG2fewckt2Jyc8YqzF4z8PD4eqTqtsJl0/yjb+YPN37Nu3Z1zn8PwpSeja7L8bjirtfP8AQ1r7xxpthoGnazJbXr2+oECJI0UuMqW5G7HQHoTVjX/F2m+HdMt7+4We4iuOY1t1DMV27t3JHGMfmK5Oa1ktvD3w+triPa63kAdGHTKNwag8SeG73SvB+tSXlxDLbWtt9m05EJJjhMwY7sj72Ni8dlpz93m8mKGtvO34nWat40tdJvbazGl6rfT3Fv8AaFSytxKQmccjcDUmjeMbLWNQbT2stR0+9CeYtvf25iaRR1K8kGuZ1Gz1K98daRFpeq/2bcDRcmf7Os2V3jK7W49Ofauh0nwrdW2spq+s61Lqt9FG0UDGBYUjU9cKvf3p2/X82K+n3foULn4k21mUFz4a8SxeZIIozJYBQ7nooy3JPYVvaHr39uLO39k6rp/lEcX9t5RfOfu8nOMfrWP4+/1fh3/sOW3/ALNXX0ltf+ug3v8A15nFH4kWwvvsX/CNeJftWzzPJ+wjfszjdjdnGe9dHrWu6foGnG+1GbyoshVUDLOx6KB3Nci3iHRf+FqLd/2xp/2YaOYjN9pTZv8AOztznGcc4q344ljsNY8NaxdqzaZZ3T/aHCkiMsuEc47A0dF5/wCdhvd/10uW7Hx7p11qNvZXen6rpclydtu2oWvlLK3opyeat3fi/TbLxVb+HrhZ0urhA6SlR5XOcKTnOTtPaud8da3pWu6LBo+kX1vfand3MX2ZbaQSGMhgS5K/dwM9f8adqGkQ638QtU0+4JAk0aPbIOsbiUlXHuDg0dvn+VxP+vvsddLrNvF4gt9GZJTczwNOrADYFU4IJznPPpWjXm2i6rcah8RtPt79dup2OnzW92AMAuGXDj2YYYfWvSaOif8AW4dWv62Iby5Sysp7uQMY4I2kYKOSAMnH5VyMHxGhuoEnt/C/ieaGQbkkj08MrD1BDc10ev8A/Iuap/16S/8AoBriPCngv7d4U0u6/wCEm8R2/m26t5Nvf7I09lG3gUlu/l+o3sv67HT33i6307w/bavc6bqaLcSiFLUwAThiSAChbvj17iqtt44+03UMH/CLeJovMcJ5kun7UXJxlju4A71U+JaR/wDCPadHLcvBH/aVurTiTa0Yyctu7Edc1Bplr4etdTt54/iHf3jq4228+tRyJIegBXv9Ka1fz/yE9F8jb1zxfb6HqkOnHTNUvrmWHzgljbiUhc45G4Hr7U/RvFP9s3ptv7B1yxwhfzb6z8qM4xxnJ55rl/F0NlP8RbFL7W7jR4f7MYi5guxbsT5n3dx7H09q3PC8Oj2t7Klj4vutZmkT/U3GpJcbQD1Cjp9aI6q78/1CWj08hb3x5YW1/cWlppurao9s2yd9PtDKkbd1JyOa2NE12w8Q6eL3T5S8e4o6spVkYdVYHoa4qyv9IhudQOleJz4ema7drmw1JIiPN7sAxBwevDY+lbfgfVxqo1YiCxPlXe03tlCY47s45bBySw7nJ9qI6r5BLRnWUUUUAFFFFABRRRQAUUUUAFFFFABRRRQAVU1O+/szTZ7021xcrCu9ordQzkd8AkZ9etW6KGCMyPX9Nl8PDXRcAaf5PnGQ9h3GPXtj14qfS9QGq6ZBfLbXFssy71juFCuB2JAJxnr1rgZdAhHxEXw+J5Bok0f9qvY/8s/NDFdv+5nDbemRXpVPpcNnYKKKKQBRRRQAUUUUAFFFFAGdLrNvF4gt9GZJTczwNOrADYFU4IJznPPpWjXE6zf2enfE7S5767gtYf7NlXzJ5Ai53jjJrpbTxBo1/cC3stXsLmdgSI4blHY468A5oWqv6/mwej/rsaNFFFABRRRQAUUUUAFFFFAGp4kRZJ7ZHUMjROGVhkEfJwax7e3gtLdLe2hjhhjGEjjUKqj0AHAra8Q/8fVp/wBc3/8AZK8bOtare63rMUnj2y0WO1vXhht57aBiUGMEFiDjnHfpS62Dpc9I+x232z7Z9nh+1bPL8/YN+zOdu7rjPOKpnw9ohuvtR0fTzcbt3m/Zk359c4zmuP0/xTq0/g7xJO17DdT6YHW21KCIBJ8Lndt5XIPpxyPxyn1/WLXRU1OP4i6ZeXIiWUacbSDc7EZ8v5DuznjgD8Ke39dwWv8AXY9UlijniaKaNJI3GGR1BBHuDVOz0PSdOmM1jpdlaykYLwW6IxH1ArB1vxDqsWn6La2FrHDrOr4CrPnbb4UM5I6nbn/PSqF/deKfB6w6nqetQ6xpnmrHdIbRYHhVjjcpXrgnv/8AXDtrb5B0/E7S8sbPUIfJvbSC5iznZNGHXP0NFnYWenQ+TY2kFrFnOyCMIufoK4vxXrGow+LrTTbfxNb6FaSWRnaaeGJ1Zw+APnxyR79qTw5r+pf8JamjyeILTxFay27TNc28KIbcg8A7CVwfz6dO6jr/AF2B6f13O3t7S2tFdba3ihV3MjiNAoZj1Y46k+tNNhZmaeY2kBluE2TOYxukXphj3Hsa8rvvGF4niDV7a78c/wBjrb3bxQ2/9ki4yg6HcF/Dn0rpLTWbwfD3VtXt/Ef9ryxxyvBd/YRb7Cq9NhHODzkjvSuuXm8h296x2kMMVtAkEESRQxqFSNFCqoHQADoKkryh9f1i10VNTj+IumXlyIllGnG0g3OxGfL+Q7s544A/Cu3vLbX9Z0zTp7DVjoc7RB7iI2aTkswB2/MeMHP51TTJVjagtLa1Mpt7eKHzXMknloF3uerHHUn1qG+0nTtUEY1DT7W78vOz7RCsm3PXGQcdBXC+H4vGOtS6lu8ZeULC/ktCP7MhbzNmPm7Yznpz9a3NZ1XUPDmv299eXPm+HrrEMuY1H2OQ/dbIGSh6HOcH8KXbz/pD11N6x0nTdL8z+z9PtLTzMb/s8Kx7sdM4Az1NNvdG0rUpFkv9Ms7p1GFaeBXIHtkVjaXqt94g8Rz3FjcGLQbLMORGp+2TfxEMRkIvTIxk9zXT0dmHWxC9pbSWhtHt4mtimwwlAUK+m3pj2oe0tpbM2klvC9qU2GFkBTb6bemPaodTt7y606WGwvvsN02Nlx5Il2cjPyng5GR+NcIYfGY8XroH/CZ9bH7Z5/8AZcP9/bt2/rnP4UbuwdLnocEENrAkFvFHDDGNqRxqFVR6ADpUlZDXUnh3w1Jdazf/AGx7WJnluPKEXmdcAKOAegrnfC+t6+msW9p4klQjVbY3VkBGqeUwOWh4HJCkHn0o3dg2VzszaWzXi3bW8RulQosxQbwp7BuuPapq5nxHqGqaDfQawsjXGiqNl9bCNS0I/wCeykDcQO4yeP0NA1PUvEWpS6rHI1voKgx2kRjG66PeUkjKr6AYz1NC1/r+v6+YPQ0p/DWg3M7z3GiabLNIdzySWiMzH1JI5qxa6TptjbS29pp9pbwS58yKKFUV8jHIAweKuUUAY/8Awifhv/oX9K/8Ao/8K0VsrVLMWa20K2oXYIBGNgX029Me1T0UAULPQ9J06YzWOl2VrKRgvBbojEfUCr9FFABRRRQAUUUUAFFFFABRRRQAUUUUAFQtaWz3aXbW8TXMalEmKAuqnqA3UCpq5Xx7ql9pOiWsthfrYSS3sUL3DIrhEbOSQ3GB1/CkB080MVxC8M0aSxSKVdHUFWB6gg9RVafSdNubSO0uNPtJbaIARwyQqyIBwMKRgV55P4h1XR7izmg8b6d4iMtwkLWEVtEruGOCQYySCPfj69Kv+I9Y1JfG0mlxeLLbQbNLJJg08ELh3LEEAvjnHv2p/wBfqFzt7LTrHTYjFYWdvaxk5KQRKgJ+gFQ3uiaTqUolvtLsrqQDAee3RyB9SK5jwlrep3Ov3ul3GrW+uWcMAlXUreFUVXJx5Z2naTjniobC58VeMFn1LTdZh0bTBK8dqgtFneUKcFmLcDkdv/rkA7mGGK3hWKGNI40GFRFACj2AqkdB0c3v2w6TYm63bvP+zJvz67sZzXPaX4i1OXR9fs9R8pNZ0hGDywj5JAULI4B9cdPb8K5i213V5NBi1OT4l6alwYBM1lJa2+4NjOw4O7PbgZovrf8ArUPI9SntLa5aJp7eKVoX8yIyIGKN/eGeh9xS3Ntb3lu9vdQRTwOMPHKgZW+oPBrhNe8VapH8PNJ1lbgaVc3csKzyCESCNWzuYKwORxkDrWbo3iSS/wBZs7WL4lfa3klUfZ/7C8vzRnJXdjjI707XbiK+ikeliztRcpci2hE6R+UsojG5U/ug9QPap68/8R6xqS+NpNLi8WW2g2aWSTBp4IXDuWIIBfHOPftVrwlrWp3Ov3ulz6tb65ZxQCVdSt4VQK5OPLO07Scc8UlqN6HYXFpbXYjFzbxTeU4kj8xA2xx0YZ6EetTV5x4gi8ZaINPYeMvOF7fR2gH9lwrs35+bvnGOnH1rpbbR/EcOl30Nx4pNzeSqPs1wLGKPySM9V5DA8Zz+FHS4+ti1/wAIp4czn/hH9Kz6/Y4/8K1njSSNo5EV42GCrDII9MVw6eOZl0JrSWAHxSkn2M2IHLTHo/8AuY+bPTHeuu0qC8ttMgi1C8N5dqv72fYqbm74CgAD0oENstF0rTZGksNMs7WRhhmggVCR7kCrAtLYXbXYt4hcsnltMEG8rnO3d1xntU1cj4ps/EsEWo6rp3ij7JawQNMln/Z8cn3UyRvbnkg9uM0m7asaV9Do5bG3Fy9/DZWr6gIyiTOoViOylwCQufr9KpfafEn/AECdK/8ABnJ/8YrH8J2viW5t9O1bUfE/2u1uLdZms/sEcf3lyBvXngn05xUXirV9dn1j+x/DEyx3VrbNd3TmNXB/uRcg4LH+lOXuuzEtdTpLZtTuWkh1PT7CO2ZCD5V2027PYq0SjGM9/wAKuwQQ2sCQW8UcMMY2pHGoVVHoAOlZum6h/wAJF4ZhvbK4Ns91BlZEUMYX6EYYEHDZHPpXLjxdrMMB8OyWvmeLA3lI2zELp2uc4wFxyR68Y7BtWduoLVXO2vLCz1GDyL60guoc7vLnjDrn1waox+FvD0UiyR6DpaOhDKy2cYII6EHFXrGGe3sYYrq6a6nVQJJ2RVLt3OFAA+lWKWzDdFG+0XStTkWS/wBMsruRRtVp4FkIHoCRTbPQdH06fz7HSbG1mxt8yC3RGx6ZArQooAoXuiaTqUolvtLsrqQDAee3RyB9SKfOlxaWccelWdoxUhRFJKYEVfYqjflirlFAGP8AafEn/QJ0r/wZyf8Axij7T4k/6BOlf+DOT/4xWxRQBj/afEn/AECdK/8ABnJ/8Yo+0+JP+gTpX/gzk/8AjFbFFAGP9p8Sf9AnSv8AwZyf/GKPtPiT/oE6V/4M5P8A4xWxRQBj/afEn/QJ0r/wZyf/ABij7T4k/wCgTpX/AIM5P/jFbFFAFaye9khJv7e3gl3cLBO0qkeuSi89eMfjVmiigAooooAKKKqanBd3Omzw2F4bO6Zf3U4RX2t2yGBBHrQwRKbO2N4Lw28JugnlifYN4XOdu7rjPapq4VPHMy6E1pLAD4pST7GbEDlpj0f/AHMfNnpjvXXaVBeW2mQRaheG8u1X97PsVNzd8BQAB6UwLlFFFIAooooAKKKKACiiigCjfaNpepur6hptndugwrXECyFR6DIplpoGjWFwLiy0iwtp1BAkhtkRhnryBms7xfrF1punQWumMP7V1CYW9pkA7SfvOQeyjJ/Kk8I6pfXUN9puryrJqunTmKZwoXzUPKSYHABH8qF5f1/VwfmdHRRRQAUUUUAFFFFABRRRQBreIf8Aj6tP+ub/APslecaL4RtW1HXbnWtGsp2uNQeW3eeKOUmMgYx1IGc8HFej+If+Pq0/65v/AOyVhw3VvcPMkFxFK8LbJVRwxRvRsdD7GjrcOhl+IdLafwfqWmabbRq8lq8cMMYVFyRwB0ArEvfA+nTeCXtYdEsI9WFkAjpCiuJgn98d93fNdnJIkUbSSOqRoCzMxwFA6kmsn/hLPDf/AEMGlf8AgbH/AI0nrfzBaWfYx9V0TWL7SdB1G0KR67paq/lXDZWQlAsiMynv6g/41Tv7XxT4wWHTNT0WHR9M81ZLpzdrO8yqc7VC9Mkd/wD6x7eO5gmtluYpo3t2XesquCpX1B6Y96q2muaTfzmCy1SyuZh1jhuEdh+ANVf3vxFsrfIw9S8NjU/Hdre3mm291pkentETOqOok35HynnOM84robLTbDTUZLCxtrVGOWWCJUB+uBU088NtA888qRQxqWeSRgqqB3JPQUltc295bpcWs8c8DjKSROGVvoRwaS2sPqcLZHxXoGra39k8K/2hb3l89xHN/aEUXBAA4OT2rVvDrviDwbrFrd6F/Z97LA8UEH2tJfMyvB3DAHPHNdJDdW9w8yQXEUrwtslVHDFG9Gx0PsampWvG3kO+tzir3wPp03gl7WHRLCPVhZAI6QoriYJ/fHfd3zXU6SLldHslvEZLoQIJlZgxD7RnJGQeauVXvL+z06Dz767gtYc7fMnkCLn0yapvVvuSlol2MTwnpd5pj66byHyxdarNcQ/MDujbGDweOnQ81o+ILOTUPDmp2cUQllntZEjQ4+Zipx1464qIeK/DhIA1/SiTwALyP/GrN7rWlaZIsd/qdlaO43Ks86oSPUAnpUtXVvkUnaV/mVvC1hLpfhbTLGeEQzQ26LIgIOGxzyODzmtes+y13SNSnMFjqtjdTBdxjguEdseuAelRz+JdBtp3guNb02KaM7Xjku0VlPoQTxVN3d2SlZWNSucOl3h+I66t5P8AoI0o25l3D/WebuxjOenfGK2bLUrHU4mlsL23u41bazwSrIAfQkHrUH9v6N9s+x/2vYfat23yftKb8+m3Oc0luPoY3jDRdQ8SSWGjx+ZBpTuZb65jdQ2F+6ig85J5zjAwPpWTq/w+vI7VL7TNf1q81OycT2sV/eCSMsD05AxkZHXvzxXoFFC02Dc5XVrHVfEtxZ6ddWj2WjlFmviZlLTNwfIG0n5c/ePfHHu/QtL1Hw7q82mwQmfw/Lma3feoNo5OTGQTkoeoIzjofWunooAKKKKACiiigAooooAKKKKACiiigAooooAKKKKACiiigArmvGmj3Gt6dYW1vbLcKmoQyzIxXHlgndndwRjtXS1DcXVvZor3NxFAjMEVpXCgsegGe59KOwFWz0HR9Pm86y0mxtpcY3w26I35gVhT+GU1Dx/cahqOmW11p509Io2nRJAJA5JwpyQcHriutqjfa1pWmSLHf6nZWkjDcqzzrGSPUAmjqHQw9M8Pvo3ji7uLCxjt9IurJQwg2ogmVj/AD129wMVm2Ft4q8HrPpum6NDrOmGV5LVxdrA8QY5KsG4PJ7f/AFh1llrukalOYLHVbG6mC7jHBcI7Y9cA9KffavpmmFRf6jaWhflRcTrHn6ZNGwHN6X4d1OLR9fvNR8p9Z1dGLxQn5IwEKogJ9M9ff8as+G/COl2Wg6at7oenrqEUCCVzbxs4cDk7gDk575rpIZ4riFZoJUlicZV0YMpHsRUR1CyW/Wwa8txeMu9bcyr5hX1C5zjg0f19wb/13MHxzp+o3+k2X9l2f2u4tr6G48nzVj3KhJPLHAqKDX/F8lxEk3gjyomcB5P7VibYM8nAHOPSumuLq3s0V7m4igRmCK0rhQWPQDPc+lTULQHqclP4ZTUPH9xqGo6ZbXWnnT0ijadEkAkDknCnJBweuKfpnh99G8cXVxp9jHbaRc2ShhBtRBMrH+AHrt7gYrqqijuYJpZYopo3khIEqKwJQkZAI7cc80LT+v67g9b/ANf1sYPi7S7zVE0YWcPmm21WC4l+YLtjXOTyRnr0HNdHWTJ4o8PwyvFLrumJIjFWRruMFSOoIzwa0RcwG1+1CeM2+zf5ocbNvXOemPei+gdTm5NEuW+JsOsi1Q2a6aYTPlciXeeMZz93vj2rqax/+Es8N/8AQwaV/wCBsf8AjTdTGiT28WpXuqPBbMoWOePVJLeJgckYKOqkn1o6BuzarP162mvfDupWtum+aa1ljjXIGWKkAZPHWsa0h8L6hcC3stemuZiMiOHX53Y/gJc1vTXVjpFkhu7yO3gQBBJdT/llnOSfcnNJq6sxxbTuiroNtcad4W062nhP2m3s40eIMCdyoAVznHUeuK5TTPAl9e/aNW1bWtY07U76UyTwafeBEQZwikgHdgd813Fnf2eow+dY3cF1FnG+CQOufqKsVT1k2yVorHF6BpGr+EZ9WsraC41PTXX7TZvJOnmGU8NGxJHU85xjr3NVz4N1KSyOuNchfFvmfaVkDZjXjAt8f3McfXnNd1JIkUbSSOqRoCzMxwFA6kmsn/hLPDf/AEMGlf8AgbH/AI0hl/T57m50+Ca8tGtLlkBlgLq+xu4ypIIqzWHqDaDeWseqXWrmK1YbEnh1WSCJuT3RwpPX349qzY28ITSpFF4laSR2Cqi+IpiWJ6ADzuTRuw6HXUVzN9aeG9MkWO/1u5tJGG5Vn164jJHqAZabZW3hnUpzBY65cXUwXcY4NendseuBL0oA6iiuZvbTw3psoiv9bubWRhkJPr1whI+hlq5H4e02aNZIrvU3jYZVl1i6II9j5lAG1RWP/wAIzYf8/Gq/+Da6/wDjlH/CM2H/AD8ar/4Nrr/45QBsUVj/APCM2H/Pxqv/AINrr/45R/wjNh/z8ar/AODa6/8AjlAGxRWP/wAIzYf8/Gq/+Da6/wDjlH/CM2H/AD8ar/4Nrr/45QBsUVj/APCM2H/Pxqv/AINrr/45R/wjNh/z8ar/AODa6/8AjlAGxRVaysYtPhMUL3DKW3ZnuJJmz/vOxOOOmcVZoAKKKKACiiobq7trG3a4vLiK3gTG6SZwijPAyTxQBzkmiXLfE2HWRaobNdNMJnyuRLvPGM5+73x7V1NNEiNEJVdTGV3BgeCPXPpUdreW1/brcWdzDcQNnbJC4dTjg4I4o6WDrcmooooAKKKKACiiigAooooA4nUvCuoeJfFc17f3d9plnZIIrBrK4VJHJ+++RnaD0xwTTLbwlqHh3xTY6ppt9qGqRT5tr8X1yrusZ5VwTjIU9uT6da7Nrq3W7W0a4iFy6l1hLjeyjqQOuPepqFpawPXcKKKKACiiigAooooAKKKKANbxD/x9Wn/XN/8A2SvO/B3/ACG/Fn/YTP8A6AteieIf+Pq0/wCub/8AsleeXPgG3m1K8voNe16ye7l82WOzvBGhb6Bf50ut/L/IOn9eZua//wAi5qn/AF6S/wDoBrzbw/4Z1+58PafPBongmWGS3RkkurSRpWBHBcgct6132n+GUsdOvrKTVtWvo7tCjNe3PmsgIIO04461jw/DqK2gSCDxT4oihjUKkaagFVQOgAC8CnbV/L9QvovmQeLrZJZ/Cug3SRwaXdXGy5jt/kjYomUjHTClu3sKzfF0dl4cdrkeArM6faSRtFqFveJbOW4xwg38E4/DNdrdeGrDUdAj0fUTPewxgYluJCZdw6PvGDu96x2+HOl3EMsV/qGr6iGQrEb2783yM8ZQEYB9yDTW/wAw0tr2M34i6/p0c2l6Ff3gtrS7kE98wVmIhXkLhQT8zDH4U34f+INIOtapoOlXYmsS5u7H5GTarffjAYD7p5HsTXYWOg2thq99qivLLd3gVXeUg7EUYCLgDC/zo1LQbXU9Q06/keWK6sJTJDJEQCQRhkOQcqR1/nSjoJ6oxfB3/Ib8Wf8AYTP/AKAtddXJXPgG3m1K8voNe16ye7l82WOzvBGhb6Bf51r6HoX9hxzJ/auqah5pBzf3HmlMf3eBihbK/ZDe7NauI+KSPL4cso40id31GBVWYZQkk4DD09a7es3WtDttetreC6eZFguEuFMRAJZTkA5B4pNXt6r8w7nK6X4U1UalCdU0DwSLMEmQ2lm3m9ONu4Y64qp4t0+81H4iWMFhZ6RdSjTGby9ViLxY8zqAB97/AOvXo9c7rnhC31zVIdROp6pY3MUPkh7G4ERK5zydpPX3p9V/XQOj/rqVvC2hajpt7NPqOleGbXMe2OTSbdkfryGLDpXI2Wiatqev+I5bDTPDN3GupyKz6tbvJIDgcKQPu/1zXc6N4V/se++1f2/rt98hXyr2882PnvjA5qjP4At5NQvLyDX9fsmu5jNJHaXgjTcfYL/Ojrfy/UOhLBpclh4Mv7XUG0fRZpkcPPpqeVDHuG0Md2Oelc5/wjMFl4fFhqHgq0u4Ugw+oaZLG0z4H3xvCtnvjJ/EV2WneGoLLTLrT7q+1DVILnPmf2jP5xwRjaDgYFY//CuLAJ9nGta8LHG37CL8+Tt/u4xnH40mrtguhveHJ7W58OafLZXE9xbGBRHLP/rGA4+bgc8c1qVBZWVvp1lDZ2kSxW8KBI0XooFT1Und3ElZWCiiikMKKKKACiiigAooooAKKKKACiiigAooooAKKKKACiiigArkfiH/AMgSw/7Cdt/6HXXVleINBt/EemixuZ7mBFlWVZLZwrqy9MEg0u3qvzDozVrzjxdYXupfEWxgsbTSbqYaYzGPVYy8WPM6gAfe/wDr1sp4D2SK/wDwlniltpBw2o5B+vy1c1zwhb65qkOonU9UsbmKHyQ9jcCIlc55O0nr707ap/1sF9Gv63K3hfQ9R028mn1HSvDNrmPbG+k27I555DFh0rnvDWm22p+HNQ1+fQ7fXNdnu5BLb3TJ8pD7QgLghQF56e3pXWaN4V/se++1f2/rt98hXyr2882PnvjA5qC/8C6dd6hNfWt7qelz3Dbrg6ddGITH1YYIz9MUAjK8GarZ2kniC2fQ00L7AVmuolvfPQFlYkgD5VwF6L/SuGfxNok0E3iR9RA8TC+F1DCYpMCJflEG7bjBTOeeuK9LPw/0VbK8tIGureC8WJbhY5BmTYzNySCSWLcnPOB0rp0hjjhWFI1WJV2KgHAHTGPSjrdBpt/X9bnF+Mr+DVPCej39q26C4v7SRD7Fv5129cvJ4E01vDzaIl3fxWYuvtMXlyKGhOchUO3hQcnnJ96hTwHskV/+Es8UttIOG1HIP1+WhW19f0Qtf6+Z095dRWNlPdztthgjaRz6ADJrI8IWssOhLd3IP2vUJGvZs9QX5C/gu1fwp/iewutWsbfTYEJt7i4QXbhgNsKncw65O7AXj1NbfQYFC6v+v6/yG+x5BosF1IdXaHwFY62v9pXH+lzTwq33vu4dSeP61ueEo0j+GmslSULtdl7XaQLVsEGIew6/jXZaPottokFxDbPK63FzJcuZCCQznJAwBxUFn4btLKw1OyilnMOoyyyyBmX5DIMMF44H1zUte7byt+Q0/ev53/M898P+GdfufD2nzwaJ4Jlhkt0ZJLq0kaVgRwXIHLetb3xBtzB4T0m3Sxt5Sl/bKLSMBInPPyDPAU9Oe1WIfh1FbQJBB4p8URQxqFSNNQCqoHQABeBW3c+G7e90vT7C5u7yVbKaOdJnkDSSMhyN7Ec579Kt6v5r8yVp9zOJn8OaprU9nFF4J07w6YbhJjfRXETOoU5wojUHP14rUGn2ev8AxN1SLWIkuo9PtYfsdtMNyYcZd9vQ84HPt7V3dYOu+EtP165hu5JLq0voRtju7KXypVX0z6f40uw7b/11MFrC08P/ABN0mLRoEto9RtpheW0I2ptQZR9o4Bzxn6+9d5XP6P4X07w291qCyXt7eSJ+9u7pzPOyDnaMDJ6dAMnA68VY/wCEmsP+ffVf/BTdf/G6OiQdbk+v/wDIuap/16S/+gGvNPDfhrXrrw3p89vongqaGSFWSS8tHaZh6uQME16ML6y12C509Y7+NZYWV2lsZoflIwcNIgGeelWtK02HR9JtdOt2kaG2jEaNIQWIHrgD+VCVm36fqDe3z/Q4/wCINgkHhXS7KytLKP8A4mMCpAY8QbiTwVH8JJ5pNL8L61DqltLe6F4Jjt0kDO9paOJVx3QkYBzXT+IfD9v4j0+Ozubi5t1jmWZJLZwjqy5xgkHHWsmDwL5FxFN/wlXieTy3DbJNQyrYOcEbeRRHf5/5A9reRieLrC91L4i2MFjaaTdTDTGYx6rGXix5nUAD73/163PC+hajpt7NPqOleGbXMe2OTSbdkfryGLDpVnXPCFvrmqQ6idT1SxuYofJD2NwIiVznk7SevvTtG8K/2Pffav7f12++Qr5V7eebHz3xgc0R0X3/AKhLV/ccza+H1jvNSv00bSvFUF7dPKt156GWMdPLw4K/L04YVt+B10y3t9SsdNivrUwXRM1leFSbdmGcJjI2nqOTRdeAdPlvJ7mx1LV9KM7mSWPTrsxI7HqxXB5+lXrDTdK8H6e4t4btxNLulkWKW5llcj7zbQT264x+dEdF8gerN2isf/hJrD/n31X/AMFN1/8AG6P+EmsP+ffVf/BTdf8AxugDYorH/wCEmsP+ffVf/BTdf/G6P+EmsP8An31X/wAFN1/8boA2KKx/+EmsP+ffVf8AwU3X/wAbo/4Saw/599V/8FN1/wDG6ANiisf/AISaw/599V/8FN1/8bo/4Saw/wCffVf/AAU3X/xugDYoqtZX0V/CZYUuFUNtxPbyQtn/AHXUHHPXGKs0AFFFFABUVzbQ3ltLbXESywyqUdGGQwPUGpaKAPMTa6xDf/8ACvUnAsJF85L3fmVbLJBix/ez8ufQ9K9ItbWCytIrW2iWKCJQiIowFA7VSbQ7ZvEqa6Xm+1Jam1CZGzbu3ZxjOc+9adHQHuFFFFABRRRQAUUUUAFFFFAHI3v/ACVXS/8AsGTf+hiuurntd8I2+u6lb37alqdjcwRGJXsZxESpOTk7SaTSfCX9k6gl3/wkGvXm0EeTeXvmRnIxyuBRHaz8/wA2D3v/AFsdFRRRQAUUUUAFFFFABRRRQBreIf8Aj6tP+ub/APslea/8Jhr91qWo22leE/t0NlctbtN/aMcWWH+yy+49a9K8Q/8AH1af9c3/APZK8f0Xwz/beteJZ/7b1qw2apInl2F35SNwDkjB55pdfl/kPp/XmdBbeNBN4f1i+l02W3vtJDfabKSQcMFyMOAQQfXH4U+z8YpdeFLjWHsmjuYTsNmJNzGQ42KGx/FuTBx/FVTWdAsfD/w+16GzErtLbSyTTTSF5JW29WY9aNM8LLcyaPq32spbi1t5ZrMR8SypGQjls8Y3DjHO0elPv8v1v+RPb5/oLZ+L9a1XQ7bUdK8MC7aSWWOWIagieVsOAcso3Z57cYqtp3jXxLqklwtr4L3i2uGtpz/akY2OuNw5UZxntxVn4Zf8icv/AF9T/wDoZp3gT/WeJv8AsOXH/stNfpf8v8xvb52/M6/tRRRSA4v/AITDX7rUtRttK8J/bobK5a3ab+0Y4ssP9ll9x61t6dqOt3WlXM95oK2V7GT5Nq16riXjI+dRhcnjpXmJ/wCEC/4STxD/AMJX/wAfn9oyeV/r/ucf88+OuevNd74Y1XwlaeG7mXQbhY9Ks2ZpmYSAISMn/Wcn8KS+C77DfxW8xU8dWH/CNNqksMkd0kn2d9P6zC46eUB3JPQ46c1av9V8RW1hZS2nhlby5mUm4gXUEQQHjA3MBu6noOMVxj2GpTaiPiIunoQrbl08xgSNahSPMJ/5645A9OM9q9J0/ULXVdPgvrKVZbedA6OO4/ofaqtp/X9f16i6nHad418S6pJcLa+C94trhrac/wBqRjY643DlRnGe3FaWu+KNS07XrfSNL0H+07iW2Nwf9MWHaobafvDB7d6g8Cf6zxN/2HLj/wBlrn/HX/CN/wDCfWP/AAlH/Hh/Zzbf9Z9/zOP9Xz0z7Uv5fP8AyuO3xeX+Z2Gjat4hvb0xap4Y/s23CEif7fHNluMLtUZ9efaqnh3xrFrutX+mS2ZtJbeR0gZpNwuAjFWI4GCOOOetZ3gu58Ax6rLB4VfF5LFl1xPygP8A00471Q0TSp9Q8Panc2BCapY61dXFo/qwPKH/AGWGVP19qfXXt+qJ/wA/0OrtfFMEi69LcwmCDSJmjkcNu3gKGLYwMfTmsb/hONb+xDVP+ENuzpBXzfPF3GZfL/veV16c9fxrP8J6k+o6X4u1CDSjdtNdljYSnaX+QBkOQeeo6c1QHiHw3aWuzSdc1/TL9Y8R6WqSTbHxwgSRWXr2BA+lTqvuRW/3s9Dl1WW48PLqmjWn9ovLGskEHmiLzA2P4m4GASefTFYfhzxdrWvalJBJ4Y+y21vO9vc3H29H8qRRkjbgFucDI45rSsdbl0/wbbat4lP2SVYVa5/dn5STgZUAkE5HGOM1y3w/8VaLPqmsWEd7uub/AFWe4tk8p/3kZAIOcYHCng4NVb3mifsJnR634rksNVTSNK0qbVdUaPzXhjkEaRJ2LueFz2//AFUaJ4qlv9Vk0jVdKm0nU1j81IZJBIkqeqOODjuP8DjHvdRj8IeO9R1TVYpl0vU4Igl4kZdYXQEFWxyAevT+uEs9Qi8Y+OtN1PSo5m0zSoZd948ZRZncbdi5wTjqf/1ZUdbfP5Dlpf5foafh3xrFrutX+mS2ZtJbeR0gZpNwuAjFWI4GCOOOetaej63/AGte6tbfZ/K/s+6+z7t+7zOAc9Bjr05rjNE0qfUPD2p3NgQmqWOtXVxaP6sDyh/2WGVP19q0Phzfrqk3iK+WJ4vO1DcY5BhkOxcg+4ORRHX7v8v+CD/X/M7qsLxX4hk8N6XDdw2P22WW4S3SHzfLyWzjkg1u1xXxOgjudA0+CZd0UupwI65xkEkEcUn09V+Y11+ZMviHxiWAbwLtBPJ/teE4/Sp9d8Ualp2vW+kaXoP9p3Etsbg/6YsO1Q20/eGD270/TPAHhjR9Qhv7DTPJuoSSj+fK2MjHQsR0Ncr46/4Rv/hPrH/hKP8Ajw/s5tv+s+/5nH+r56Z9qb3S/rYS6v8Arc7DRtW8Q3t6YtU8Mf2bbhCRP9vjmy3GF2qM+vPtWV/wmGv3WpajbaV4T+3Q2Vy1u039oxxZYf7LL7j1qDwXc+AY9Vlg8Kvi8liy64n5QH/ppx3rkz/wgX/CSeIf+Er/AOPz+0ZPK/1/3OP+efHXPXmjr8v1Dp8z0yz1u9TRrzUdf0k6SLYM5jFys+5AM7sr+Ix7Vhf8Jxrf2Iap/wAIbdnSCvm+eLuMy+X/AHvK69Oev41No134ebwdfxeEbJdStIdwayYyKJGIyVzICeR9fSuaHiHw3aWuzSdc1/TL9Y8R6WqSTbHxwgSRWXr2BA+lDeoLY9PsL2DUtPt761ffBcRiSNsYyCM1YrM8PT6jc+HrGfVovKv3iBmTbtwfcdj7dq06clZiTurhRRRSGFFFFABVPU7i8tdOlmsLH7ddLjZb+cIt/Iz8x4GBk/hVyqep6pZ6Np0uoahN5NrDje+0tjJAHABPUikxrc5vw54u1rXtSkgk8MfZba3ne3ubj7ej+VIoyRtwC3OBkcc1NqXjWLSvGMGh3FmRbyRo73vmfLGXJVQy46EgDOe9YXw/8VaLPqmsWEd7uub/AFWe4tk8p/3kZAIOcYHCng4NX7nT7fVfiRq1hdpvgn0VEcfWQ8j3HUVX8v8AXS4nbX+utjoZ9c8nxVa6J9m3efavcedvxt2kDG3Hv1zXN6j418TaX9n+1+CvLW4nW3hP9qxnfI33RwpxnHU8Vn6HdXp+JVlpuph2vdO0+aB5mHE6bgUkH1Xr7g1uePv9X4d/7Dlt/wCzUkvh8/8AP/IO/l/kX7LW9YOl6heav4f/ALONrEZI4/tiTebgEnlR8vQfnWRZeLvFeoWUN5a+B/Mt50Ekb/2tENynocFc102v/wDIuap/16S/+gGvItF/4VT/AGJZf2p/x/8Akr9o/wCPr7+Ofu8dfTile7fy/UfRfP8AQ9I1zxNqGjabpUg0Tz9Qv5lg+x/a1Xy3Kk434IPTGeBVWHxjqlrqVnba/wCGpdLivJRBDOt4k6+YegO3GM1neL1s9Z0/wimn3U8VncahEsM9uxSRU2MAVJGQfqKg1Tw//wAI1r/h3UH1fUtSie/W3ZNUn85Yy4OGXgbWBHWqW/zt+RN9Plf8zq/E+tanodmLuw0X+0oUR5LhvtSw+UqjOeQd3fp6UnhfXNT16z+132if2dBJGklu/wBrWbzlYE5wACuBjr61V8d6/pmj+HLy2v7nyZr21mjt18tm3ttxjIBx94dcdaZ4A1/TNW8NWVnY3Pmz2NpDHcJ5bLsbbjGSADyp6Z6Uo63/AK7jlsh/h7xiuuarfWMtl9kNu8ixOZd4mEbbWPQYIypxz96jw34w/wCEi1e/shYG3it0WSKYy7jMjEhW27RtyAD1PWuc0Pw8+v6LqAgvmsbiLWLwCdY95Mb/ACuuMjqCOexANavh+CK1+JOv28KBIorK1RFHYBcAUR6X7fpcH1t3/Wx21YHinxDcaBFYC003+0Li9uRbxw+eIvmIJHJBHb2rfrifiHa/bpPDdr589v5uqIvm277JEyrcqexo6pea/MOjZND4x1S11Kzttf8ADUulxXkoghnW8SdfMPQHbjGasa74n1LTtfg0fS9C/tO4ltjcH/S1h2qG2n7wwe3euf1Tw/8A8I1r/h3UH1fUtSie/W3ZNUn85Yy4OGXgbWBHWoPHX/CN/wDCfWP/AAlH/Hh/Zzbf9Z9/zOP9Xz0z7UdvV/lcO/ovzOw0bVvEN7emLVPDH9m24QkT/b45stxhdqjPrz7VU8O+NYtd1q/0yWzNpLbyOkDNJuFwEYqxHAwRxxz1rO8F3PgGPVZYPCr4vJYsuuJ+UB/6acd6oaJpU+oeHtTubAhNUsdauri0f1YHlD/ssMqfr7U+uvb9UL/P9DqIvEl5eR62thpH2m6025FukP2kJ5/Qk7iMLwTxz0rF/wCE28TDWBpP/CE/6cYPtAi/tWP/AFe7bnO3HXtnNO+HN+uqTeIr5Yni87UNxjkGGQ7FyD7g5FW2/wCSvJ/2Az/6OpJapPt+lx9H/XWx0mmXF5dafFNf2P2G6YHfb+aJdnP94cHjn8at0UUAFFFFABRRRQAUUUUAFFFFABRRRQAUUUUAFFFFABRRRQAVU1O4u7TTZ7ixsxeXEa7ktzL5fmewODz6cVbooYI5+Pxfpr+ET4iLFbdUy0R++JOnl4/vbuK1NKubu80yC5vrMWVxIu5rfzPM2Z6AnA5x14riJtEsv+FuxwbG+zSWv9pPb7v3ZuAxQSbemcc/XmvQ6fS/cHo7BRRRSAKKKKACiiigAooooAyJtb8nxXa6H9nz59q9x52/7u0gY24569c1r1wPiXW9O0D4j6Xe6nceRb/2dKm/YzclxgYUE9q3NJ8deG9d1BLDTdS8+5cEqnkSLkAZPLKBRHVff+bB6P7vyR0VFFFABRRRQAUUUUAFFFFAGt4h/wCPq0/65v8A+yVk1reIf+Pq0/65v/7JXA+FLq5uNX8TJPcSypDqJSJXcsEXYOFz0HsKOtg6HUUVQ1yR4tA1GSN2SRLWRlZTgqQpwQa8j0yeW50u1nnl+Jks0kSs8lqxaJiRyUJ6r6Ur6j6HtdFYd5qMXhvweb2V7mYW1su37S2ZpGwAoY/3iSAa5zw4+taBrllBr2oT3MetQFx5zlhb3IyxjXP3QVPA9Vqra2J6XO/orhvFz6g2vwQ3d/qmm+Hxbl2udMRi5mz0ZlDFRj2wf5SeEXddWmisPFSa1pRi3GK6n33UMmevTJU++KS1G9DtaK8dnurm58Ra4s9x44lWG+eOMaK5aFFGPlOeh9h2xXoHgyLZozSeZrzeZKTt1xszrgAcei//AF6Fqrg9HY6KiiuN+JV1c2nh21a2uL6Fnvoo3Ni5WZlOcquOpPYeuKTY0jsqK8t0aLz9Zs4/M+JMeZVO69bEHBz8/wDs8c11Hitr/RJo/EtnczPb2q7b6xeY+XJF3ZATgOP16fV7asS10Oqork/C8974iuX8S3FxLFYyqY7CySX5QmSDJIAcFyex+79a5/xR4budGGltbeKvErfbNShtZBJqBICPnJGAOeOKLO6Qdz0yiuZGiv4e8Paw8es6teyNbOyve3XmNGVVsbDgY/8ArCvOtMnludLtZ55fiZLNJErPJasWiYkclCeq+lHWwdD2uiuB8YR6hHo/hrT9O1XULWa4u44PtEkpEpyhx5mMZOcZFN1fxHd3nhWylEslnqUGqQWt7HFIVKuHww46qw5HqDR1t52/L/MV9Plf8/8AI9AorhvFz6g2vwQ3d/qmm+Hxbl2udMRi5mz0ZlDFRj2wf5SeEXddWmisPFSa1pRi3GK6n33UMmevTJU++KFqN6Ha0V59480u5ivtOvbbXtatvt+owWkkEF4UiRGGCVUDg8Z78k1uavcSeDPA11PFc3N9Laxny5b2TzHZmbA3HjIBYfgKPs3HbVI6WiuF/wCEO1z+zvtx8X6uNY2eZjzR9mD4zt8rGMdv1x2rM1fW9T8SeE/C1xZX02nXeoXohlkt3ZRuAcHoeV3LnFH/AAPxFfS56bRXn+r+I7u88K2Uolks9Sg1SC1vY4pCpVw+GHHVWHI9Qa9Ao/r8v8wCiivHJ7u5ufEmupcXHjeVYb50iXRXLRIvoc9D7DtSvrYfS57HRXGaTbPZ+DtUv47zxEZJbeRlTWZf30JVWwQP4c9fyrh9MnludLtZ55fiZLNJErPJasWiYkclCeq+lPrYXS57XRXB+N5bnTfBWlpbXmrqxuYInkjlIu3Ug5BI6uf51k6NF5+s2cfmfEmPMqndetiDg5+f/Z45prV2B7XPUqK4bxc+oNr8EN3f6ppvh8W5drnTEYuZs9GZQxUY9sH+UnhF3XVporDxUmtaUYtxiup991DJnr0yVPviktQeh2tFFFABRRXG/EBr110O0sr+5snu9QWFpIJChwUbrg8jODigDsqK8r8T+JdQ1Xwvmzu7izutPtjPqBt5CjLMH8oRkqR/EHbH+yK13bVPFPiGTR4tWutO0/T7WB7h7Rts00ki5Hz9gB/n0Oun9b/5B6/1t/md7RXEWB1Dwv4wstFn1W61PTtTikaBrxt80MiDJy/cEf59c7w/oFz4kXVLy48TeIbdk1G4hSO2vyqKqtxgEH1o9P61sG256RRXKeEb3UV1HWdB1O8+2S6bJH5dyVwzxuuV3Y7jHWuebw5c/wDCejRP+Ep8S/ZW043e7+0Dv3+Ztx0xjHt+NC3S7/8ADh0fkemUVxfxLu7my8M2zWtzews17FGzWblZWU5yFx1J9PWuf0qy/tDU4LX7T8S7be3+tu5NkS4GfmPYcYoWrB6I9UormvGumSXeg3F5Dqup2MtjbyyoLK48oSELkb+ORx7dTTPA2nSWugW2oT6rqd9LfW0Urre3BlWMlcnZkcDn36ChdfIH0OoqtepeyQgWFxbwS7uWngaVcemA689Oc1w2jWGp+N7aTXLvxBqdhbyzOtpbadN5SoisVyxwdxJHf/8AV1fh+21ixsZbfWr2G9aOQ+TcoNrPH23jGA3XpmjpqD0dhPs3iT/oLaV/4LJP/j9X7JL6OFhf3FvPLu4aCBolA9MF25685/CvOpNW1ia4k8bRXlyNFt7wQiyDHY9qMo8u3u245HsPau11nRF8QRWzprGqWKICytp1z5XmBsfe4OenH1NHS4dbGzRXmfhjw5c6vLq32jxT4kH2HUpbWMJqBwyJjG7IOTzz0rp/GumSXeg3F5Dqup2MtjbyyoLK48oSELkb+ORx7dTSbsrjSvKx0tFcv4G06S10C21CfVdTvpb62ildb24Mqxkrk7Mjgc+/QVi6Pp+p+OLaXW7vxBqlhbSyutpbadN5IRFYrljg7icd/wD9VNWdhLVXPQqK86Gsarb+GvF2kXl881/o8J8q9T5HdGQshOOjDHX/APXVjw9q1/a6FdaRql3JLejTzeWd07nfNEyZ69dyMcfTBqW7JvyuCWqX9f1qddexatJMpsL2ygi28rPZvKSfXIlXjpxiq32bxJ/0FtK/8Fkn/wAfqPwbPNdeDdInuJZJppLZGeSRizMcdST1rcqmrOwk7q5j/ZvEn/QW0r/wWSf/AB+j7N4k/wCgtpX/AILJP/j9cZ47u7lfGlhaLceIhatZM7Q6G580sHPJXpj1P0q/4NsvP1N7r7T42j+zj/Va3JiKXcCOB3I6+3FKOo3odJ9m8Sf9BbSv/BZJ/wDH6Ps3iT/oLaV/4LJP/j9eaz3Vzc+ItcWe48cSrDfPHGNFctCijHynPQ+w7YrsdID23gfVLiOfxAJDFM6/20/+kRkJxj0HGRSv7vN5XHb3uU2fs3iT/oLaV/4LJP8A4/R9m8Sf9BbSv/BZJ/8AH68s0yeW50u1nnl+Jks0kSs8lqxaJiRyUJ6r6V7DpsXkaXaxeZcybYlG+6bMp4/jP971qrE3KP2bxJ/0FtK/8Fkn/wAfo+zeJP8AoLaV/wCCyT/4/WxRSGY/2bxJ/wBBbSv/AAWSf/H6Ps3iT/oLaV/4LJP/AI/WxRQBj/ZvEn/QW0r/AMFkn/x+j7N4k/6C2lf+CyT/AOP1sUUAVrJL2OEi/uLeeXdw0EDRKB6YLtz15z+FWaKKACiiigAooqpqdj/aWmz2gubi2aVcLNbyFHQ9iCP8mhgi3RXni+KtXisT4XaJ28Vh/sySFfkdMHFzn0CjP17V2+lWB0zTILNrq4umjXDT3Ehd3Pckn+XagC5RRRQAUUUUAFFFFABRRRQAUVy93dXK/ErTbRbiUWz6dK7QhzsZgwwSOmfeuooWquHWwUUUUAFFFFABRRRQAUUUUAa3iH/j6tP+ub/+yV5imjeMtL1nV7jR30Fra/uTOBeGYuOAMfKAO3vXp3iH/j6tP+ub/wDslcLqvj3w1omoyafqOpeTdRY3p5EjYyARyqkdCKXUfQfb23iS90XUrTWzpInnhaO3Nl5m0ZUj5t3PXHSsXTNP+IWlaXa6fA3hhobaJYkLm4LEAYGcAc10Y8UaMfDv9vi8/wCJWP8Alv5T/wB7b93G7rx0rH/4Wl4M/wCgz/5Kzf8AxFPqxdCTWPDepeJk0i11l7QWMWZdQitncedIBhVXjITvyc/zqjqPwt0IWTyaFbfYNUjIktrgzyMEdSCMgseOPSumj8RaRLoa60L6NdNYEieQFB1x0YA9RjGKqaR428N67d/ZdO1WKW4P3Y2Vo2b6BgM/hR1stw6XexUvtL8VJex6npWp2guJIFjubG8aR7beBy0ZGCv5DPemaV4e1qbxLFr/AIgurD7RBC0MUGnxsEw3UszfMfp0rraKA6HDQ6N400nVNWl0h9Aa1vrtrkfazMXGcDHygDt710uif299nl/t/wDs3z9/7v7Bv27cd9/Oc1l33xF8KabfTWV3qvl3EDlJE+zynaR1GQuKu6X4v0LWrS7utPvvOhs13Tt5LrsGCehUE8A9KFt5A9zbrnvGOjahrel2sWmPbJdW93Hcr9pLBDsycHaCfSqH/C0vBn/QZ/8AJWb/AOIrZvPFGjWGiQazdXnl6fPt8ubynO7cMjgDI/Kh9wXYyoP+FhfaIvtH/CMeRvHmeX9o3bc84zxnFW9X0O613WbVb14P7DtiJTbqSWuJR93eMY2DrjJyetVbb4leEbu6htoNW3zTOI0X7NKMsTgDJWtXWvEujeHUjfVr+O28z7ikFmb3CqCce+KNrMPIp6ZoV3oniC4ewkh/sS7zLJbOxDQTHqYxjG1u4yMHp6VL4n0W51pNKFs8SfZNRhu5PMJGUTOQMA881Y0XxLo3iKN30m/jufL++oBVl+qsAce+K1aNreQX3KmqWz3uk3lpGVEk8DxqW6AlSBmuP0zT/iFpWl2unwN4YaG2iWJC5uCxAGBnAHNd3RQBzWp6LqurJ4emuXs1urG8S5uhGWCHAIITIJ798VQ8VeDbzVtXtb/TLmGANNE19FKSBKI2yrDAPzAZH0x6V2lFHW/ncP8AhjmtX0vxGmrnUtA1SD95GI5LLUN7QZHRl28qfXHWq+leHtam8Sxa/wCILqw+0QQtDFBp8bBMN1LM3zH6dK62ihaA9TivFmi+LNav7cWD6KljaXUV3b+eZRKXQdGwCMZJ6dsVtvpd3rfheXTfEP2YXFwjJMbLdsHPyld3ORwee9bVFFtLDvrc4b+xvHosP7JGsaR9j2+V9u8qT7SE6fd+7nHH9c81eufCHlWfhuy0141t9Ju0mfzSdzqAckYHLEnPYV1dFO/Umy2OL8VeDbzVtXtb/TLmGANNE19FKSBKI2yrDAPzAZH0x6V2lFFJaKw+twrA8O6Hc6Rfa5PcPEy3961xEIySQpAGGyBz9M1v0UdbgVNUtnvdJvLSMqJJ4HjUt0BKkDNcfpmn/ELStLtdPgbww0NtEsSFzcFiAMDOAOa7uigDlfEWja5rfh3T4kfTk1a3uYrl8lxAWTJwOC2M4psH/CwvtEX2j/hGPI3jzPL+0btuecZ4ziusooQHNavpfiNNXOpaBqkH7yMRyWWob2gyOjLt5U+uOtV9K8Pa1N4li1/xBdWH2iCFoYoNPjYJhupZm+Y/TpXW0ULQHqFFFFABWF4h0W51a80WaB4lWxv1uZRISCVAIwMA8898Vu1ma34h0rw5ax3OrXX2eGR/LRvLZ8tgnHyg9gaNtQtfQo+JfDaap4c1Wx02C0tru/ALyFNgdgwOXKjJPXnmqF94Z1i11SLWPD17axXzW6W91BdqzQzBRwcr8wI9v8c3tK8d+GdavFtLDVopLhvuxujxlvYbgMn2FXta8R6P4eiSTVb6O2D/AHAQWZvooBJ/KjbUe+n9f1oZOj+HtXk19dd8SXdrNeQxGK1t7NWEMIP3mBbkk+/+GMzT9F8caI19Dpknh5rW4vJblTcmYuN5zztAHpXUaL4k0fxFE8mk30dyIzhwAVZfTKsAR+VVNW8b+G9DvfseoarFFcDrGqM5X67QcfjQ9H/XqLcd4a0CfR1vLq+u/tmp38gluZgu1eBhVUdgBXOnRfHp8SjXA/hr7QLX7IEzPs2bt2cYznPviuw/tvTDoz6ul5HJp6RmRp4zvAUdemTx6dasi9t208Xwk/0YxecH2n7mM5x16UXs79gXbuY/ivQ7rXrCygtnhR4L2G4cyEgFVOSBgHmt+sW78W6HY6TaapcXuyyvCBBL5TndkE9AMjgHqBU+r+INK0GyjvNSuxDbyNtRwjPuOCeignoCc0bBuUvFlnr+o6a1loraasdxFJFcm9MgIVhgbNvfk9fam+EbHX9M01LDWm0xobaKOK2NkZCxCjB37u/A6e9Sav408P6DJBHqeoeQ88YljHkyNuU9/lU0mjeNfD3iG9NnpeofaLgIZCnkyJ8oxk5ZQO4oXVA3ojHh8O+KPD09zD4bvtMk02eVplg1FZMwFjkhSnUfX/EmUeFNXt/DWpW8Opxzazqj5uryXKKinghAAei5A6dc8dK39L8Q6VrNzeW+n3Ymms38udNjKUbJHcDPIPIqOfxPo9ta6hczXm2HTpRFdN5Tny2OMDAGT1HTNLS1v6t/Vh63/rcw0+FXg5YVRtLZmC4MhuZck+vDYz+GK2PCumahouhx6bfzxXH2ZmjglQnLQj7m4EDBA4wMjgc1lf8AC0vBn/QZ/wDJWb/4iul0zU7PWNOiv7CbzrWYEo+0rnBx0IB6iq1J0M3w1otzoz6wbh4m+26jLdx+WScI2MA5A5496Z4ss9f1HTWstFbTVjuIpIrk3pkBCsMDZt78nr7Vc0nxHpGuzXUWmXqXElq2yYBWG08juBkcHkZFZ+q+PfDWiajJp+o6l5N1FjenkSNjIBHKqR0IqXZpJlJu7Y7wjY6/pmmpYa02mNDbRRxWxsjIWIUYO/d34HT3rKi8PeKfD01zD4avdLk02eVpVg1FXzAzHJClOoz6/wD69TSvHnhrW9QjsNO1LzrqQEqnkSLnAyeWUDoKTVfHvhrRNRk0/UdS8m6ixvTyJGxkAjlVI6EVTet2JbWRSi8HXUfhfW7aa9S61jV0cz3LjYm4rhQAAcKPp/hU+s+FrnUfDFja21xHBqtjCqQz87c7NjqeM7WGR09D2rd0zVrHWNMj1GwnEtpJnbIVK5wSDwwBHINYh+IvhIXv2T+24PN3bc7X2Z/38bce+aTV3y/1oC7/ANamp4b02bR/Den6dcNG01tAsbtGSVJHpkD+Valc74ml8KWaW994itrFxIwhimuLQTHuQM7TgdT6U2/0fwdpdvHPeaLpMcUsixIwsEbLMcKOFPX1pttu7EkkrIln0O5l8dWuuK8X2WGye3ZCTvLFs5AxjH41v0yGGK3hSGGNI4o1CoiKAqgdAAOgp9LyH5nDQ6N400nVNWl0h9Aa1vrtrkfazMXGcDHygDt71tW9t4hvdB1G01o6WLqeN44TZeZsAK4+bdz19KrX3xF8KabfTWV3qvl3EDlJE+zynaR1GQuKu6X4v0LWrS7utPvvOhs13Tt5LrsGCehUE8A9KWjjbpYd2pX6nP6Zp/xC0rS7XT4G8MNDbRLEhc3BYgDAzgDmuzsftn2GH+0PI+2bB532fPl7u+3POPrXL/8AC0vBn/QZ/wDJWb/4irWs3vhB9Jtte1m3sp7SVVWG5ns/NJDZKjG0sB1PSqbe7El0Omorzy2134XXd1DbQWulPNM4jRf7KIyxOAMmOur/AOET8N/9C/pX/gFH/hSA2KKx/wDhE/Df/Qv6V/4BR/4Uf8In4b/6F/Sv/AKP/CgDYorH/wCET8N/9C/pX/gFH/hR/wAIn4b/AOhf0r/wCj/woA2KKrWWn2WmwmGws7e1iLbikESopPTOAOvA/KrNABRRRQAUUVV1HUbbSrCa+vHZLeEbpHWNn2j1woJxQBkvody3j2LXQ8P2VNPNqUyd+7fuzjGMY966Cq6X9pJpw1BbiM2Zi84TZ+XZjO7Ppim6bqNrq1hFfWTtJbTDMbtGybh64YA4o8uwb6lqiiigAooooAKKKKACiiigDk/EGjeIJfE9nrOhPpgeC2eBlvjJg7mzkBB7etWtJ/4TP+0E/tn+wfsWDu+x+d5mccY3cda131Ozj1WLTHmxeSxGZI9p5QHBOcY/WrdC0QPVhRRRQAUUUUAFFFFABRRRQBreIf8Aj6tP+ub/APsledePv9X4d/7Dlt/7NXoviH/j6tP+ub/+yVwuq+AvDWt6jJqGo6b511Lje/nyLnAAHCsB0Ao6pj6M6SuQb/kryf8AYDP/AKOro9K0qy0XTotP0+HybWLOxNxbGSSeSSepNH9l2Z1gat5P+nCD7OJdx/1e7djGcde+M09pX/rZi6Nf1ucp47NsNb8Lf2nt/sn7Y/n+Z9zfs/d7s8Yznr71p+KpvD8EemyavbieYXKfYUhP73zMjGzBBx0zzjp7Vt31haanZyWl9bx3FvIMNHIuQayNJ8EeG9DvBd6dpUUVwPuyM7SFfpuJx+FJefe4P9LHQUUUUAeZaHpeu3+v+KH0nxH/AGXEupuHj+wpPvOBzljx9K6+6tr608F6hDqOof2hdLazbrjyVi3fKcfKvAwOK0rHSrLTZruW0h8t7uUzTnex3ue/J4/CrFxBFdW0tvMu6KVCjrkjIIwRxUte5y+X6DT97m8zz7wzoXiufwvpctr4z+zW72yGOD+y4n8tccLuJycetX/iHDcN4f0mFLrbcnUrZRceWDh8kb9vTrzipv8AhVvgz/oDf+TU3/xdbF14V0W90ODRbiy36fBt8uHzXG3HT5gcnr61cnd380yUraeRQ0/Q/FNvfwzXnjD7XbI2ZIP7Mij8wem4HIqpqNtDP47NzpWp2sevQWYje0vYGZGjJyGUggg9clSfcVNB8NPCFtcRTw6RtlicOjfaZTgg5B5atbWvDGi+IlQarp8dyY+FckqwHpuUg49s0uw+5gWF0sPj6GDVNKso9ZntG23djcswZAQSHQgY6cE56YBrtax9F8K6H4d3nStOit3cYZ8lnI9NzEnHtmtijpYOoUUUUAFFFFABRRRQAUUUUAFFFFABRRRQAUUUUAFFFFABRRRQAUUUUAFFFFABXI+Nf+Qn4V/7C8f/AKC1ddWZrfh7SvEdrHbata/aIY38xF8xkw2CM/KR2Jo6p+gdGjnficLQ+GkDCM6kbmL7B/f8zePu9+maZZfZv+Fs6n/aPl/a/skH9n+Zj7mDv2Z75z07Z9619J8DeGtDvBd6fpUcdwv3ZGd5Cv03E4PuKu614c0fxFEkeq2MdyE+4SSrL9GBBH50LTb+tLBvo/61uc3feR/wtnSv7N8v7V9km/tHy+vl4Gzfjvux19vaj4aGz/sW83+X/awu5v7Q3Y8zdvOM98Y6Z966PRfDej+HYnj0mxjthIcuQSzN6ZZiSfzqpq3gjw3rl79s1DSopbg9ZFdkLfXaRn8aNtF/Wtwev9eRg3DaJceDvF8Hhy1ZY1WXzmj5ikl2c7OSOBjoAOla0Oo2X/CtUu/tUX2caYFMm7jPl4x9c8Y65rfstPs9OsUsrO2igtkGFiRcL7/XP61gH4deEje/azokHm7t2N77M/7mduPbFJq6ce9hp2afa5y8lsH8K/D+3uI8q91Crow6gxtwfwNQeI9H1WHwjqn9qx4t9KtPstg5dWMwMo/eHByDsVF5969Ku9Jsb5rNriAMbOUTW+GKhHAwDgEZ4PQ8U/UtOtNX0+awvovNtphiRNxXIznqCD2pz1vbq/6/UUdGr9LHBajZ6le+OtIi0vVf7NuBouTP9nWbK7xldrcenPtXWaHpmu2E0rat4i/tSNlARPsSQbD65U80zV/Bfh/XpIJNT0/z3gjEUZ86Rdqjt8rCm6N4I8O6BffbdM07yLjYU3+dI3B6jDMR2p31+/8ANitp9xxWi2sthaX/AInsYi9xY6tdLdRr1nti3zD3K/eH0PrXReBLmG91HxNc20iyQy6jvR1PDAouDXT6fpdlpcU0VnD5aTTPPINxbc7fePJPX06VDo+gaXoEc8el2gtknk82RVZiC3tknH0HFJafdb8v8hvX7/8AP/Mwm/5K8n/YDP8A6Oqbx9rUukeGpIrMSNqF832a2SJSzlm6lQOSQM/jit3+y7M6wNW8n/ThB9nEu4/6vduxjOOvfGaJtKsrjVLbUpoN93aqywuWOEDdcDOMn1xmk1eKX9btjvrf+tjy621e18O6vol5a6DrenWcMIsL6a+svKjaMkbXLZPzB+fcE16P4o58JawR/wA+M3/oBq9f2NrqdjNZXsKzW0y7ZI27j+n1pp061bSjpjRlrQw+QUZ2JKY243Zz075zTleUWv61CPuyTKHhL/kTdF/68Yf/AEAVk+Pv9X4d/wCw5bf+zV1NpaQWNnBaWybIIIxHGmSdqgYAyeelYOq+AvDWt6jJqGo6b511Lje/nyLnAAHCsB0AqpO8+Zd7/iTFWjbyE+IP2j/hA9X+zbvM8nnb12ZG7/x3NKP+Ec/4QTj7J/Yn2bn7uzGP/Qs/jn3rX0zSbHR9Mj06wgEVpHnbGWLYySTyxJPJNYh+HXhI3v2v+xIPN3bsbn2Z/wBzO3Htioavddyk9n2OOit5LvwZ4Dt9Sj8xZb9UKSDO6IhwoP8AwHFSa5PJpen2/he8kLSWmpW0llI5yZrYyfL+KfdP0Fek3mlWV+9o9zAHazlE0GGK7HAwDweevQ8VDqvh/S9bltZdRtFmktJPMgbcylG47gj0HB44qm/ev53/AC/yJtpby/z/AMzSorKm1a9imeNPD2pTKrECRJLYKw9RmUHH1ANEWrXskyI3h7U4lZgDI8lttUepxMTgewJpDOH0PS9dv9f8UPpPiP8AsuJdTcPH9hSfecDnLHj6V191bX1p4L1CHUdQ/tC6W1m3XHkrFu+U4+VeBgcVpWOlWWmzXctpD5b3cpmnO9jvc9+Tx+FWLiCK6tpbeZd0UqFHXJGQRgjipa9zl8v0Gn73N5nn3hnQvFc/hfS5bXxn9mt3tkMcH9lxP5a44XcTk49av/EOG4bw/pMKXW25OpWyi48sHD5I37enXnFTf8Kt8Gf9Ab/yam/+LrYuvCui3uhwaLcWW/T4Nvlw+a4246fMDk9fWrk7u/mmSlbTyKGn6H4pt7+Ga88Yfa7ZGzJB/ZkUfmD03A5FdPXJwfDTwhbXEU8OkbZYnDo32mU4IOQeWrXm1a9imeNPD2pTKrECRJLYKw9RmUHH1ANIZq0Vj/2zf/8AQs6r/wB/LX/49R/bN/8A9Czqv/fy1/8Aj1AGxRWP/bN//wBCzqv/AH8tf/j1H9s3/wD0LOq/9/LX/wCPUAbFFVrK5muoTJNY3FmwbHlztGWI9fkZhj8c8VZoAKKKKACkZVdCrKGVhggjgilooA8xfRbmPxR/whCXmPD8y/2h5QzvWLccwA/3S+D64r0xEWNFRFCoowqgYAHpVQ6VZNrK6sYf9OWH7OJd7f6vOcYzjr3xmrtHS39f1YHvf+v6uFFFFABRRRQAUUUUAFFFFAHI3v8AyVXS/wDsGTf+hiuurE1zwhoXiSeKbVrH7RJEuxD5zpgZz/CwqDSfAvhvQtQS/wBN03yLlAQr+fI2ARg8MxFC2s/P8we90dFRRRQAUUUUAFFFFABRRRQBreIf+Pq0/wCub/8AsleQT+Ndek1vVbS3v/CllDZ3LQIupzPHI4HfhufrXr/iH/j6tP8Arm//ALJXmHh3w1Z3OseJJ9X0SCUyaizQSXdoG3JgcqWHIz6Uuvy/yH0/rzNHTNW1xvD+o6nf3Gh3SxQtJbPpju8bFQc7iTzyB0PrXMWXjbxJeWUNz/bPgWDzUD+VPdSLImezDdwa7nUdPgtvDF/ZadZxxIbaURwW8QUZKngKo6k15/otzo1nollbX3w41We7ihVJpf7DRt7AcnJ5P40+r+X6i6L5/odT4g13XdN0zQ1sxpcmpahcJbuzhzBllJypB3YyOvPFVbnxB4s8OmG68RWWlT6a8ixSS6a0gaDccBmD9Rn0pniueaaw8ManaaNqTx299HO9pFakzRoFbgoOh7dag1rUtR8bWI0Ky8ParYwzyIbm61KDyVjjVgx2jJ3HjpTW/wA/w0/4Iumvb/M9BopAMAAdqWkM5LQ/G9hdR3w1fUtMs7iC9mgSNp1jJRThSQzZyfXpVzwz4hbX7nWAr20lvaXfk28sByHTaDknJB69qyPCXhewmttUl1fQrZ7h9TuGR7u0UsyFvlILDJX07Vc8G6a2mah4jjWxNpbNqBa3UReWjJsHKDGMfSkvPt/kD8u/+ZlnWvHo8SjQwnhr7QbX7WHxPs2btuM5znPtiuh1vXLrTde0CwiSFo9QmeOYuCSoVcjbz/PNck3iO5/4T0a3/wAIt4l+yrpxtNv9nnfv8zdnrjGPf8K0vHw1JNS8PX2m6dc3ktvLKdsURcIzJhS2OgyefoafSPr+v+Q3u/66f5mr4p8UDSvDt1qGlTWl1Nb3CQOpbeqMXAIbaQQQD0qz4o12TQ9HEttEk1/cSLBaQtnDyseM47Dkn6Vwvi7w1faTpEdnpdndXsd7HCl0YI2c+fG4bzWA/vAtk+y1s6tpOu+JvGAltLt9IttHTbb3EtmJPOlcfMVVsAgDjP5UdPn+Gn9fMXX5G/4W1u61iwuE1CKKDU7Od7e6jjztDDoy5OdpBBH41W0rxLNHqGo6X4h+zWt5aAzpJHlIprf/AJ6LuJ6dCM8Vj2ek+IPDXjG31G6vpNZt9TAtrySGyERiIH7t2VM5A5BbsDz2q18RNFGrQaMyWD3UiajGkhjjLFYWzvzjovTPajt56f1/Wwd/vNjwzq2oa5bz6jPDFBp8z/6Cm1hK0Y/jck4+bqAAOPWt2kVVRQqgKoGAAOAKWgDC8Q61c6TeaLDAkTLfX620pkBJCkE5GCOeO+aXxVrNzoenWtxbJE7y3kMDCUEja7YJGCOap+NrC/uLXTb/AE62+1XGm3qXX2cNgyqAQQD681janqOo+MpdO0618ParYwx3kVxc3GoQeUqKhzhefmJ/z7C108/w0/4IPTXy/HX/AIBra54h1ceI4vD+g21k16bf7S8187CNUzjAC8k5/Kp9E1TxCdWk0zX9LhRvK82K9sd7W7842ndyrfXrWf4qeYakF1Twv/bWjmMGGSzg8y4hk7ggnOD6riqvheK/k8Sxz6dpusaXoSQMs0Gpyt88n8OyNmYrj1Bwf5kf8wl/kVZ/GmvPrOqWtvqHhOyhs7poEXU5njkYDvgNyPeut8MX2o6hprz6jdaPcsZCI5NKkZ4toA4JbvnNcPD9i07Xde/tfwRqWqNPqDywzx6Us67CBjDN7g9OK7fwxeWl3p8i2WhXejQxyYEFzaC33EjO4KOCPeiPw/JBL4vmblY+u/8ACR4g/wCEf/srPzed/aHme2Nuz8c59q2KKAPP9H1rx7rMl6IU8NqtldvaS7xOCWXGSuCeOeM4re1zXb3QNUtJ7uOBtBmxFNOqsHtpD91mOcFD0zgYz19YPBdpc2sniI3FvLD5usTyR+YhXeh24YZ6g+tHiZL7XbuPw5awzw2cy79QvTGQoi/55oSMFm6HHQUdvl+Wo9Lv5k+ka9da9rNw1hHD/YdtmP7UwJa5l7+Wc42DucHJ6V0Vcn4bivvDuoP4bngnm05QZNPvFjLKqZJMUhHAYdieo/Kuso6KwurKmqXL2Wk3l3GFMkEDyKGHBIUkZ/KvOrHxv4kvrGC6/tjwNb+agbybi6kSRM9mG7g16Drkby6BqMcaM8j2siqqjJYlTgAVz3hTwno//CKaX/aHh+x+2fZ1877RZJ5m7vuyM5+tJbv5fqN7L5/oHiHX9c0DwpZXcx0n+0prlIZHO/7MoYn5skhgAMZP1qhp3iTxHd6lbQHWvA8yySANHbXUjSsueQozycZxV/4iWsk+g2Ii0+e+jiv4ZJLeCHzS0a5yNvcY454rPsNW0KPULdrb4d6tazeYAk/9iInlknG7cDkAetOOrfr/AJCei+X+Za8V+KdV0rxHbaXYXGh2sctqZ2m1V2RchsYDAjn2x61Z8MazrWp6hIl7qXhe7t0jJK6TO8kitkYJycAday/FsccPjqzvr3w5e6zYjT2iKQWP2gK5fIyDwOM+/NafhnUdLl1J4NP8HajozvGS082mLbowH8JYHk+1Edvv/UJb/cddRRRQAVgeLPEMvh+wtmtrZJ7u8uFtoFkfYgds4LH04rfrA8VtqCWERtdJt9WtN+LyzkXc7x+qAnBIPYg5pMaM6PVfGem31qNY0vT7yynlETSaV5rPBn+JlbqvrjpWr4q1yTQtI821iWa/uJVt7SFujyseM47Dkn6Vw6xy3NzbR+E/DfiDRrkTo0st0WgtxGD82ULFW47AZ/lWvq+la54m8Y+dZ3b6Ta6Qu23uJbMSedK4+YqrYBAHGfyp72/rQXc3vCut3OsWFwmowxQanZ3DW91FFnaGHIK5OdpBBFO0DWbnVNR1u3nSJUsLzyIigIJXaDlsk889sVzlnpPiDw14xt9Rur6TWbfUwLa8khshEYiB+7dlTOQOQW7A89qisNaufDniDxEs/h3XrpLq+MsUtnZF0K7QOpI9O1HX5fjoH+f4anc6pcvZaTeXcYUyQQPIoYcEhSRn8q87svG3iS8sobn+2fAsHmoH8qe6kWRM9mG7g11Q1l/EPhzV1j0fVrKRbd0WO9tvLaQlDjaMnP8A9euO0W50az0Sytr74carPdxQqk0v9ho29gOTk8n8aXV/L9R9F8/0Ou1zxHe6HoGnStBa3Wp30kdunlyFbfzGH3tx52fqarx6r4z02+tRrGl6feWU8oiaTSvNZ4M/xMrdV9cdKsa1dX0/h+xuLLw+t5Yvj7Xpl1CFmEWOAqk4DD0OfauUWOW5ubaPwn4b8QaNcidGllui0FuIwfmyhYq3HYDP8qpfF8yX8PyPU6KKKQzz7WNa8faL9jM6eGnW7u0tI/LE5IZ84JyRxxziuq0P/hIts3/CQf2XuyPJ/s/zMd87t/4dKzfG1pc3cegi2t5ZvK1i3kk8tC2xBnLHHQD1rT8S315p+gXM2nWs1zesvlwRxIWO9uATjoB1JPHFF7Rv/XQbV2v67nOTeN71PExWO1gbw7FeLp8t3zvExHUHONobAPFdF4iutWsdMN5pFvDdSQsHmt3U7pYx94IQeGx0yD9K46L4deIB4bOjN4sjFnIpMlv/AGbGwLE7j85O4/N/F1rUtNd1+LwfBC+k3cmvh/sWHhby94485mxjZjBz0J4FHS3X+v1/MS3v0/r9CceMf7avLCy8MeTcyTKJ7qeVSUtYvRgCDvJ4C5+vFdbXBWGi33gW/hubb7TqdlfkLqQSMvIkxJPnqq87eSCOwx1rvafQXUK4iLxD4p8QzXM3hqy0uPTYZWiWfUWfM7KcEqE6DPr/APq7evPdH1DU/A9tLol34f1S/topXa0udOh84OjMWwwyNpGe/wD+uepXQ0YvGN1J4X1u5msktdY0hHE9s53puC5UggjKn6/41N4f8VXOqeHLye8gjg1WzhMksIB2EFS8bDnO1h79jWKNH1W48NeLtXvLF4b/AFiE+VZJ87oioVQHHVjnp/8AqqzrOk39t4d07V9NtZZNQg09bS6tVB3TQsmCu3ruVuQPqKJXs/RffqC+JfP9DqPDepTax4b0/UbhY1muYFkdYwQoJ9Mk/wA61Kw/BsE1r4N0iC4ikhmjtkV45FKspx0IPStyrl8TsTH4Vc5LXtZ8RJ4qttF0FNL3SWhuWa+EmOG24BQ/TtTdK8Qa7D4oj0HxDBppmuIGmhm0932gL1DK/P41V8QeGLbxF8QLManp8txpyac2XG9UEm/gblI5wTxmug0Twpofh1nbStOjt3cYZ9zOxHpuYk49qmO2vn+bHLfTy/Q5+HWfGmrapq0WkJoC2tjdtbD7WJg5xg5+Ukd/arej+INc1rTNVtYoNOi1zT5xCWZ3a1c8HII+YcZ49cVkaZ4D0nWdY8QXeu6RK8jai/kPI8sYaPAIIwQCM55ruNL0nT9Fsls9NtY7aAHOxB1PqT1J9zQvhV+yB/Fp3OKOtePx4jGh7PDX2o2v2vfifZs3bcZznOfau30z+0f7Pi/tX7L9uwfN+y7vL68bd3PTHWsFrS5/4Wml59nl+y/2OY/O2HZv83O3d0zjnFdTT+yv66sHv/XYKKKKQBRRRQAUUUUAFFFFABRRRQAVU1P7eNNnOl/Z/toXMQuFJQn0OCDz0znirdFDBHJJ45tv+ETbU5YSuoI/2Z7D/lp9q6eXjryefpzXQ6UdQOmQNqv2cXzLmVbdSEU+gySePXNcrLoan4tw6iNPbyP7PMjTiM7PPDFQSem7afriu2p9L9/6/r5A9HYKKKKQBRRRQAUUUUAFFFFAGJ4q1yTQtI821iWa/uJVt7SFujyseM47Dkn6UzwrrdzrFhcJqMMUGp2dw1vdRRZ2hhyCuTnaQQRWDq+la54m8Y+dZ3b6Ta6Qu23uJbMSedK4+YqrYBAHGfyplnpHiDw34xt9Rur6TWbfVALa8khshEYiB+7dlTPA5BY9Aee1EfPr/S/rzB+XQ7+iiigAooooAKKKKACiiigDW8Q/8fVp/wBc3/8AZKya1vEP/H1af9c3/wDZK878Hf8AIb8Wf9hM/wDoC0dbf10DoddRWdr/APyLmqf9ekv/AKAa8i0Xwt9q0Syn/wCFb/bfMhVvtP8Abnl+bkfe25+XPpSW7H0PbqK5zWNSg8IeCDcRQLB9mgWKC3aTcFcjCruPXB7+gNcd4XuNO8L+ItPih1y0v11iLy73yrpJCt3ncH4PRtxX64qt5W/r+v8AgE9LnqlFcN4u0S51HX4LjULG81TQEtyDZ2c21lmz99l3KWGPQ5HpTPCVtpGneI5LfSby/sIpbcs2i30Ei4IP+sQufzxmktRvQ7yivGDoX9qeJPEMv/CGf25t1GRfP/tT7Ns6fLtyM+ufevRfBmkx6TozImhf2M8kpd7X7WbjnAAbdk9QOlC1VwejsdFRRXA/FFLeS10JLuznvLdtSUSW9uCZJF2NlVAIOT9aAO+orx+wh0u28W6JH4f0XV/D08tx++fURJGlxGBlowGZtxPbpWj4607+0/H1jB/YP9tY05m+zfbPs2P3n3t2e3p70dv66XDuen0Vwvgrw7HpuqTXTeDf7DkEWxZv7TNzvBIyu3PHQc11l9rWlaZIsd/qdlaSMNyrPOsZI9QCaGCL1Fcn8QpY5vh1qksTrJG8KsrochgWXBB7imp4nUXkekfZG+zm3EJvN/yifyt/l7cf3Oc59qTej8hpXt5nXUV4rMlvJ8M/BiXdnPeW7X5ElvbgmSRcyZVQCDk/WrVhDpdt4t0SPw/our+Hp5bj98+oiSNLiMDLRgMzbie3Sqt71vOxN9L+Vz2CiuX8d6BpmseHLy5v7bzprK1mkt28xl2NtznAIz90dc9KZ4B0DTNJ8NWd3ZW3lT31pDJcv5jNvbbnOCSByx6Y60lrcb0sdXRXlvjDwF4Z01dHa003y2utVgt5j58h3RtncOW4z6jmuqfwxo/hvw1rS6RZ/ZhPayGT9677sI2PvE+ppN2i5Dt7yXc6iivEdF8LfatEsp/+Fb/bfMhVvtP9ueX5uR97bn5c+leyabax2Wl2trDB9njiiVFh3l/LAH3dx649apqxKZaoory7x5p/9pfEDTrf+w/7Z/4l7N9l+1/Z+jn5t+e3p71N9Uiulz1GiuD8G+FbWz1N76bwd/YlxAP3Mv8AaZud+4ENxnA49fWuUOhf2p4k8Qy/8IZ/bm3UZF8/+1Ps2zp8u3Iz6596fWwulz2eiuM0zSY9J8B6siaF/YzyQzO9r9rNxzswG3ZPUDpXCaL4W+1aJZT/APCt/tvmQq32n+3PL83I+9tz8ufSjrb0Dpc9uorkPEeiX83hTT9O0iGSG3heIXNnDcbZGgA+aNZCeT9SM461zsGm+HtJ1SxuNPj1fwvdC4VWN3DK8NyCf9WzbinPru/pT62F0ueo0UUUhhRRRQAUUVxHxSWJ/Ddks8ElxCdRgDwxAl5F5yq4xyegpNjR29FePxaNaSX9kfCXhTX9G1BLhGa7vA8Uax5+YNuc7gR271o+OoNNuPH1imqaNf6tb/2cxFvYozSBvM4bCsDgc9+9Pt/XS4u56fRXm/g/S2g8Ui50TRdU0bRfs7Lcw6gWXzZP4SqMxOR6/X8avjDwF4Z01dHa003y2utVgt5j58h3RtncOW4z6jmjqvP/ADsC1v5HqVFZGh+GNH8NrMukWf2YTkGT9677sZx94n1Na9ABRXEfFJYn8N2SzwSXEJ1GAPDECXkXnKrjHJ6CuWi0a0kv7I+EvCmv6NqCXCM13eB4o1jz8wbc53Ajt3ojqwlornpc2k3sszyJ4h1KFWYkRpHbFVHoMxE4+pJoi0m9jmR28Q6nKqsCY3jttrD0OIQcH2INefeLrfSrj4kSrq2halq8Q02MpFYIzMjb2+Y7WXjtV7wALePxTqkOlW17pemxW6btMvi3miQn/WBWJwMcdfSiP+f4A/6+Z6RRXm/h3wzp/jfT5Ne8Rede3FxPIsURndEtkVioVVUjB475qAaxqHhrQvF2mQXU1x/ZBjFnPMd7osoGFJ77c/5HFHTzHbW3nY9PorhYvhrox05bj7VeLqzR7zqoun8wPjO7rjH4dO/eq3jxDc+BtJiaaPWGa9t42eNhGt0eQeQSFyeMg8UPTQS11PQ6yptJvZZnkTxDqUKsxIjSO2KqPQZiJx9STXBaN4RjTWbN5fhx9hRJVf7V/bhl8og5Dbd3zcjpWz4u0S51HX4LjULG81TQEtyDZ2c21lmz99l3KWGPQ5HpQwR0kWk3scyO3iHU5VVgTG8dttYehxCDg+xBrVrg/CVtpGneI5LfSby/sIpbcs2i30Ei4IP+sQufzxms298NxSavqFx4s0TVNXMtwxtbizkaSOKH+FQiMGUjv8poA9Oorl/BH2ZNMura01ifUIIbhlRLmJkmthj/AFbbuTjsSBXKt4D8Nf8ACyV0v+zf9DOlm5Mfnyf6zzdu7O7PTtnFPql/W1w6N/12PQ72wubqZXh1e9s1C4McCQkE+vzxsc/jiq39jX//AEM2q/8Afu1/+M1zvxI0+PU08Pae7vGk+pLHvQ8rlG5H0rO1vVbi98M21jqBA1XT9XtoLoAYD/P8sg9mXB/Oktfvt+X+YP8AT/P/ACPSIUaOFEeV5WVQDI4G5j6nAAz9ABT64S+sl8XeOtQ0nUpp/wCy9Mt4iLOORkWd3GdzYwSB06/1zQ8MXOh6X4qtbHTtK8S6QbtXVLa8TbbSFQWLYdmbIx1H9aFqD0PSqKKztf8A+Rc1T/r0l/8AQDSk7JsaV3Y0aoXthc3UyvDq97ZqFwY4EhIJ9fnjY5/HFePaF4X+16HZXH/Cuft/mRBvtX9t+V5v+1sz8v0rrPHmkWun+CNL0yy0/dbrqEKrZ+cRu3FiU3k5GSSM54zTat94k7nWf2Nf/wDQzar/AN+7X/4zR/Y1/wD9DNqv/fu1/wDjNcLo3hGNNZs3l+HH2FElV/tX9uGXyiDkNt3fNyOlP8dad/afj6xg/sH+2saczfZvtn2bH7z727Pb096Owdzt/wCxr/8A6GbVf+/dr/8AGaP7Gv8A/oZtV/792v8A8ZrnfBXh2PTdUmum8G/2HIItizf2mbneCRldueOg5rLvfDcUmr6hceLNE1TVzLcMbW4s5Gkjih/hUIjBlI7/ACmhgdt/Y1//ANDNqv8A37tf/jNH9jX/AP0M2q/9+7X/AOM1n+CPs0emXVtaaxPqEENwVRLmJkmth/zzbdycdiQK6igEVrK2mtYTHNfXF4xbPmTrGGA9PkVRj8M81ZoooAKKKKACiiqmp6baaxps9hfRCW3nXa6n+Y9COoNDBFuivNhf6/Av/CBgOdRI2xamTx9j5/eeu8AbceuOa73StLtNG0yDT7GIR28C7VHr6k+pJ5NPzDyLlFFFIAooooAKKKKACiiigAorkb3/AJKrpf8A2DJv/QxXXULVX/rcOtgooooAKKKKACiiigAooooA1vEP/H1af9c3/wDZK82fwhrsGrajeaT4r+wRX05neH+zklwcAfeZvb2r0nxD/wAfVp/1zf8A9krz++8e6da6hPZWlhqmqy252znTrXzViPoxyOaXUfQt2ei6uNJ1Cy1bX/7Ra6jMccn2NIfKBUg8Kfm6/pWPZeEfFen2UNna+OPLt4EEcaf2TEdqjoMls1tQeK7C98Oyazp0V3fxRna1vbQ7pw2QCuzjkZz9Oaxv+FlW32z7H/wjPiX7Vs8zyfsA37M43bd2cZ4zT6i6GleeFZNXk0j+2b9b+CwBeWFrYKtzLjAdgDgAf3cUmr+BdB1HTJra206zsLhgDFdW1siPEwOQQQAeo6ZqyfFFtHa6VNPY39u2pXAt4oZ4gkkbHP3wTwOO2eoq3rOs2+h2sNxcpK6SzpAoiAJ3OcAnJHFH+f4hcxr7wlezXseqafrsun6sYFhubiOBXjuNo6mNjgH054qTSfCtzbawmr6xrU+q38UbRQsYlhjjVuuEXufXNSa54vt9D1SHTjpmqX1zLD5wSxtxKQuccjcD19qfo3in+2b0239g65Y4Qv5t9Z+VGcY4zk880LyB9mZX/CH6/a6lqNzpXiz7DDe3LXDQ/wBnRy4Y/wC0zew9K6DRLHVbC3lTVtZ/tSVnykn2VYNgx0wvX61gn4iWzT3Edt4e8Q3a28zwvLbWQkTcpwcENXQ6Jrdlr+nC9sXYx7ijq6lXjcdVYdiKFtoD31NGsjWtD/ti50qb7R5P2C8W6xs3eZgEbeox1681r1k+IvENt4a05L26guZ1eVYVjtkDOWbOMAkelF7Ba+g3XdDOsyaZItyIJLC8S6UmPeHwCCvUYznrWfrvhjUtR1+DWNL13+zLiK2Nuf8ARFm3KW3H7xwO3aoF8e7mC/8ACJeKhk4ydO4H/j1Xdc8YW+h6nDpx0zVL65lh84JY24lIXOORuB60f1+H+QDtG0jxFZX3m6n4o/tK32EeR/Z8cPPY7lOePSugrA0bxT/bN6bb+wdcscIX82+s/KjOMcZyeeaoT+P7ePULyzg0DX71rSYwySWlmJE3D3DfzoA2vEejf8JB4fvNK8/7P9oUL5uzdtwQemRnp61mDweo8I/2Mb5vtXmef9u8obvO3bg+3P4Yz04q/pniGLUNMuL+exv9Mhtyd41GDyWwBksBk8e/tWIfiVpYT7QdK1saeT/yEDYnyNv97dnOPwpWWqGTWngj7Lo/h+w/tDd/ZF19p3+TjzeW+XG75fvdeelauu6GdZk0yRbkQSWF4l0pMe8PgEFeoxnPWtS3niureO4gkWSGVQ6OpyGUjIIqSqbd9e9/mSkraGF4n0XU9csxaWGtf2bC6PHcL9lWbzVYYxyRt79PWk8L6Hqeg2f2S+1v+0YI40jt0+yLD5KqCMZBJbIx19K3qKS0G9TI1/Q/7cXTh9o8j7HfRXf3N2/Zn5eoxnPX9Kv6ha/btNurTfs8+J4t+M7dwIzjv1qxRQ1dWHd3ucRZeEfFen2UNna+OPLt4EEcaf2TEdqjoMls119jDc29jDFd3X2q4RAJJ/LCeYfXaOB9KsUU7isFY0ug+b4ut9e+048m0a28jy+uWzu3Z/TFbNFLrcAri/8AhD9ftdS1G50rxZ9hhvblrhof7Ojlwx/2mb2HpXaUUdbgYVno+q/2LfWGra5/aMtyjIk/2RYfLDLj7qnn1rFsvCPivT7KGztfHHl28CCONP7JiO1R0GS2a7eigDntS8MPq+lWMd3qcw1SyIki1GFBGwkxgnaOMHuKzj4M1XUZIk8QeKZ9RsopFlFtHaR24dlORuK5JHtXZUUdbh0sFFFFABRRRQAVkeINE/t23s4vtHkfZryK6zs3bthzt6jGfWtes7W9c0/w/p7XuozeXFkKoAyzseiqO5o21DfQ0ayJNE3+LIdd+0Y8uza18nZ1y27duz+mKzLHx7p11qNvZXen6rpclydtu2oWvlLK3opyeak1rxnHol3cQzaDrtxFAu97m2s98OMZJ3bh07/Q0bahvodNWRr+h/24unD7R5H2O+iu/ubt+zPy9RjOev6VQ0TxpFrt1BFDoWuQRTrvS6ubQLDjGQdwY9e1auj61ba3BcTWySotvcyWziQAEshwSME8U7NMLli91Cy02ETX95b2sRbaHnlVFJ9Mk9eDVD/hLPDf/QwaV/4Gx/40Q+I7OdNYdY5wNKdknyo+Yqu47eeePXFYcPxFiuYEng8LeKJYZFDJImnhlYHoQQ3IqQNTUrSx8X2NqbDVbeSK1vY5zJAyzKShzsyDwTkf4V0Fc/qvi220jStPvp9O1J2vnWOK1jgBnDEE7ShI546DNVrHx3Y3WowWN3pesaXJcNsgbULTylkb+6Dk80/JB5mlHofl+LZ9d+0Z82zW18nZ0w27duz+mKRdDKeLn11bkASWYtXgMfXDbg27P4YxWxRR/X9feBx8ngvULO8uZfDviSfSbe5cyy2xtknjDnqUDH5c+1aGmeENPsdDu9MnaW9+3FmvJ52y8zHqSe3t6fXmqM/xAto9RvLK30HXr1rSUwyyWlmJEDD3DfzrQ07xQl/YX15JpGrWEdnGZGW9tvKaQAEnZzz0/UUtOXy/QevN5/qYw8DawLP+yx4xvf7Hx5f2cW6eb5f93zevTjp07Vp614SS/wDD1jpOm3Q05bKWOWCQRebt2dOCRn1yaz4fiLFcwJPB4W8USwyKGSRNPDKwPQghuRWvqnim30jQrXVbmw1DbcuiJbLCPPDP0UqSOe2M035iRQg0DxfHcRPN4382JXBeP+yol3jPIyDxn1qfV/Cs91q51fR9Ym0nUHjEUzrEsqSqOm5G4yPWobbxx9puoYP+EW8TReY4TzJdP2ouTjLHdwB3q7rniyw0O6is2gvL2+lXetpYwGWXb/exxgfjQ+gIr6T4VubbWE1fWdan1W/ijaKFjEsMcat1wi9z65qp/wAIbqmnzTDw94nm0y0mkMptXtEuFRjydpb7o9q09C8W6fr11NZxw3dnfQrve0vYfKlC/wB7HPH4963qLAYvh7w6mgx3TteT3l7eSebc3M2Mu2MDAHAA7CuePgrxKda/tb/hNP8ATBD9nEn9lx/6vdu243Y698Zru6KOtw6WMfWtDOr3GkzG58o6fdrdY8vd5mARt6jHXrzWd4l8FxeINTsdQjvWtJrd0Mu1NwnRW3KpGRyDnB9zXU0Uf8OBzut+Fm1DU49X03U59L1RI/KM8SCRZE64dDw2O3/6sUoPCL2uq2ev6vr8t5eWJdnmmRY4hGUYEBQdqDnJPPSuvooWmwPXcx/+Es8N/wDQwaV/4Gx/40PqWkeIbS702w1eynlmgdSIJ0lZQRjdtB6DIrYooaTVmCbTujP0LTP7F0Ky0zzvO+zRCPzNu3djvjJx+dU/FOgS+ItNhtoL77FNDcpcJN5Ikwy5x8pIrcooeruwWisjk4NA8Xx3ETzeN/NiVwXj/sqJd4zyMg8Z9ak13wxqWo6/BrGl67/ZlxFbG3P+iLNuUtuP3jgdu1dRRQBz+j6R4isr7zdU8Uf2lb7CPI/s+OHnsdynPHpWd/whuqafNMPD3iebTLSaQym1e0S4VGPJ2lvuj2rsaKAOd0vTtP8AB9rc3Oo6uHnvZg9xeX0qx+Y+OAM4AGAcCrX/AAlnhv8A6GDSv/A2P/GtiigCtZahZalCZrC8t7qINtLwSq6g9cZB68j86s0UUAFFFFABRRVTU77+zNNnvTbXFysK72it1DOR3wCRn160N2BalF9B3eMY/EH2nGyyNp5Hl9fn3bt2fwxitmsyPX9Nl8PDXRcAaf5PnGQ9h3GPXtj14qfS9QGq6ZBfLbXFssy71juFCuB2JAJxnr1p2tp2C99e5cooopAFFFFABRRRQAUUUUAcxr/hjUdT1y11bTNc/sy4ggaDP2RZtwJyfvHA/KpdJ0fxJZ6gk2peKv7QtgCGt/7Oji3HHB3Kc8Voy6zbxeILfRmSU3M8DTqwA2BVOCCc5zz6Vo0LRaA9WFFFFABRRRQAUUUUAFFFFAGt4i/4+bT/AK5v/wCyV5R4G1zSdD0i40fVr23sNStbqU3C3UgjMhZiQ43YByMdPSvV/EP/AB9Wn/XN/wD2SubvdG0rUpFkv9Ms7p1GFaeBXIHtkUdQ6WOY8Dut/rfiXWbMMNLvLlBbsVKiRkXDuB6E9/apm/5K8n/YDP8A6OrrY40hjWOJFSNRhVUYAHoBUf2S2+2fbPs8X2rZ5fnbBv2Zzt3dcZ5xT2a8v8rB0fn/AJ3OP+Idr9uk8N2vnz2/m6oi+bbvskTKtyp7GsfxX4U/siz0+6/t/Xb3Go26+Te3nmR8v1xgc16RPaW1y0TT28UrQv5kRkQMUb+8M9D7ii4tbe8RUubeKdFYOqyoGAYdCM9x60lp99/y/wAgev3f5nn3i6Gyn+Itil9rdxo8P9mMRcwXYt2J8z7u49j6e1bnheHR7W+lSx8X3WszSJ/qbjUkuNoB6hR0+tbt9oulanIsl/plldyKNqtPAshA9ASKbZ6Do+nT+fY6TY2s2NvmQW6I2PTIFEdFb1CWrOA8MaR4ivodXl0vxP8A2bb/ANqXK+R9gjl+bdydzHPNb/w5ATw/dxyKPtkd/Ol3LknzpQ3L89MjHHtXVW9pbWiuttbxQq7mRxGgUMx6scdSfWi3s7a1MptreGEzOZJTGgXex6scdT7mhafdb8gev3/5k1cV8TovP0DT4fMePzNTgXfGcMuSRkHsa7Wobm0trxFS6t4p1Rw6rKgYKw6EZ7j1otsBgaZ4P/s3UIbz/hI/EN15ZJ8m6vt8bcY+ZdvPWud8XQ2U/wARbFL7W7jR4f7MYi5guxbsT5n3dx7H09q9HqjfaLpWpyLJf6ZZXcijarTwLIQPQEijqg6MwvC8Oj2t9Klj4vutZmkT/U3GpJcbQD1Cjp9a5GytNJuNf8Rtf+L73RZBqcgWGDUktg4wPmKnqe2favSbPQdH06fz7HSbG1mxt8yC3RGx6ZAqOfw1oNzO89xommyzSHc8klojMx9SSOaOtw6WMiJtHg8F6hEmo3fiOyjRxcFbpbmZlI5XcCOg5xkVgLrFjY6CH03xxp81ilviOw1OKORtu37hClX9sEE/WvQLHTbDTI2jsLG2tEc7mW3iWME+pAFVz4e0Q3X2o6Pp5uN27zfsyb8+ucZzQ9QRF4Xu/t3hfTrr7CliJYAwt412qg9h2HcfWteiim3d3ElZWCiiikMKKKKACiiigAooooAKKKKACiiigAooooAKKKKACiiigArivHMiWGseGtYvEY6bZ3T/AGhgpIjLLhHOOcA12tNkjSWNo5EV0YYZWGQR7ijzA4Dx1rela7osGj6RfW99qd3cxfZltpBIYyGBLkr93Az1/wAa6rxPkeEdYBOT9hm/9ANWbLRdK02RpLDTLO1kYYZoIFQke5Aq3LFHPC8M0ayROpV0cZDA9QR3FKSvFpdRp2kn2Mnwl/yJui/9eMP/AKAK4rwt4V/tiPVrr+3tcsf+Jpcr5VjeeVHw3XGDzXpcMMVvCkMMaRxRqFREUBVA6AAdBTLe0trRXW2t4oVdzI4jQKGY9WOOpPrVSd5OX9bkpWikefeHrT7BpHjm1+0XFx5U0q+dcPvkf911Y9zWZ4f0/QZPD2nvP8QtSs5mt0L2ya1HGsRxyoUj5QPSvUlsbNBcBbSBRckmcCMDzSRglv73HHNZ/wDwifhv/oX9K/8AAKP/AAqV+i/Af/B/E5rxsrXlt4UTTNSAaTUY1gvQFm/gbD+jf1qpqmmazp3iHw5Lr2tjWrN79Y0iNqtv5UpB2P8AKfmwfWu+/s2wEVvELK28u1YNAnlLiIjoVGPlP0qS4s7a8EYureGcRuJEEqBtrDowz0I9apaO/nf8hW0t5W/MmorKmuNfWZxBpmmvEGOxn1CRWI7EgQnB9smiK48QGZBNpmmJEWG9k1GRmA7kAwjJ9sj60hnD6H4b/tvX/FE39t6zYeXqbrssLrylbgHJGDk1191p39leC9Qs/tl5ebLWY+deS+ZI2VJ5bArYgtLa2eZ7e3iiaZ98rRoFLt6tjqfc1JJGksbRyIrxuCrKwyGB6gipa9zl8hp+9zeZ5P4f0/QZPD2nvP8AELUrOZrdC9smtRxrEccqFI+UD0re+IDWs/hPSSmoH7K1/bD7akwyF5+cP0z3zXSf8In4b/6F/Sv/AACj/wAKuS6Tps9jHYzafaSWceNlu8KmNcdMKRgVcnf7xLT7jjtMtfD1rqdvPH8Q7+8dXG23n1qORJD0AK9/pUuu3OjxeMcyarcaDqwtQqXsgj8i4jznb8+QSD/un3NdFH4W8PRSLJHoOlo6EMrLZxggjoQcVdvNPstRiEV9Z291GDkJPErgH6EUuwHG6Lrn2jxtBYG70rW2+yOx1G0twskAB+6zBmUg+gI56iu7qnb6fa6ZaSR6XYWlvkFlijQRIzds7Rx9cGqf2nxJ/wBAnSv/AAZyf/GKPILGxRWP9p8Sf9AnSv8AwZyf/GKPtPiT/oE6V/4M5P8A4xQBsUVj/afEn/QJ0r/wZyf/ABij7T4k/wCgTpX/AIM5P/jFAGxRWP8AafEn/QJ0r/wZyf8Axij7T4k/6BOlf+DOT/4xQBsUVj/afEn/AECdK/8ABnJ/8Yo+0+JP+gTpX/gzk/8AjFAGxRWP9p8Sf9AnSv8AwZyf/GKPtPiT/oE6V/4M5P8A4xQBsUVj/afEn/QJ0r/wZyf/ABij7T4k/wCgTpX/AIM5P/jFAGxRWP8AafEn/QJ0r/wZyf8Axij7T4k/6BOlf+DOT/4xQBsUVj/afEn/AECdK/8ABnJ/8Yo+0+JP+gTpX/gzk/8AjFAGxRVaye9khJv7e3gl3cLBO0qkeuSi89eMfjVmgAooooAKKKKAPNZdAhHxEXw+J5Bok0f9qvY/8s/NDFdv+5nDbemRXpVQmztjeC8NvCboJ5Yn2DeFznbu64z2qahbJf1/Vgerv/X9XCiiigAooooAKKKKACiiigDidZv7PTvidpc99dwWsP8AZsq+ZPIEXO8cZNdLaeINGv7gW9lq9hczsCRHDco7HHXgHNPvtG0vU3V9Q02zu3QYVriBZCo9BkUy00DRrC4FxZaRYW06ggSQ2yIwz15AzQtFZg97o0aKKKACiiigAooooAKKKKANbxD/AMfVp/1zf/2SvFrTW9W1CbUXn+IdjpJhvZoY7We2tywRWwDliD+navafEP8Ax9Wn/XN//ZK828N+DbNLfUW1vRLGW4m1CeWN5oY5WMbNleecfSl1+X+QdP68x+g6/qmoeCNR1C6KfabYTrBdRx7UuAi/LKqnsT+HFcRZeNbieyhluviX9muHQGSD+wg/lt3XcFwcetdtoeh6jp/hPW9Ie2KAy3K2KeYpDRMDsA54HPQ4qlouo+M9I0Sy07/hCfN+ywrF5n9qwruwMZxg4/On1+SDp82aWsa3qWnaZoun6dNFfaxqZEcVzNHsQgLueUoOnHOPf2wc17zWtE1FUvPHWh3ciuvnWV8kdqVU88FSWzjpkVp65pOra1Y6Tq1rDDZa5YP5yW88m9PmGHjLL6juPT8RzfiLQvEHiyyuhJ4T0zTLraGNy00c085XoqMANucAZY9Ka+L5hZWt5fidZ4wTWF0eW/0jWf7P+xwSzSL9lSbzsLkDLfd6HketN8GLrUujw6hq+tf2h9tgimjj+ypF5ORkjK/e6j06Uvi5tZbRJLDSdG/tA3cEkMrfaki8nK4Bw33up6elJ4MbWotHh0/V9G/s/wCxQRQxyfakl87AwThfu9B1z1pLr/Xf/gA9l/X9dTnzrOuaxrWo248UWXh021w0MNnLbI8sqjo58wjg9tvFdDp6eJ77w/c2t9cQ6fqaSbIb+CNZUlQEEOEJ4yMjBx61k3ieKoWmtL7w3Y+J7fzGaC4eaKEhD0VkZcZHqK0fBWh32jW9/JexW9qLufzorG2ctHbDHQHpk98celEdvkD0ZgmHxmPF66B/wmfWx+2ef/ZcP9/bt2/rnP4Vd8VX2taFo+iWx8RpDc3F6ILnUpLaNV2kMclD8oxx3HStc6XeH4jrq3k/6CNKNuZdw/1nm7sYznp3xio/F+iTa3PoaJaJc28GoLLcpJt2+XtIOQ3Xr05o6L1/X/IHu/T9P8znrXXdXsde0y3h8W2PiaO7nEU1vb28avCneTMZOAO+a6bxfrF1punQWumMP7V1CYW9pkA7SfvOQeyjJ/KqOs+FIbbU9E1DQNJtoJra9U3BtUSEmEghs9AR045NQ6l4V1DxL4rmvb+7vtMs7JBFYNZXCpI5P33yM7QemOCaN18/8v6/4YNn8jS8JapfXUN9pmryrJqunTmKZwoXzUPKSYHABH8q5zxBF4y0Qaew8ZecL2+jtAP7LhXZvz83fOMdOPrV638Jah4d8UWWq6bfajqkU+be/F9cq7rH1VgTjhT25Pp1rW8XaXeaomjCzh8022qwXEvzBdsa5yeSM9eg5p7tP0uG10XND0/WbBZxq2u/2oXI8s/ZEg8vrn7p5zx+Vcg0XjL/AITEaCPGXBsjeed/ZkPHz7du39c5/CvRq85aXxl/wmI14eDeBZGz8n+04efn3bt36Yx+NJfEv66f5h9lnReKta1DTzp2maSkTanqUpiieb7kYUZZyB1wP89qx7+68U+D1h1PU9ah1jTPNWO6Q2iwPCrHG5SvXBPf/wCuNjxVouoagdO1PSXiXU9NlMsSTfckDDDISOmR/nvWPf2vinxgsOmanosOj6Z5qyXTm7Wd5lU52qF6ZI7/AP1iR3+f4f18we3y/Ebr3iXWdL8cMsEnm6NaWcdzd26xqW2MxVnBxn5eDjPQGtqXWLlvHem2EFyrafcafJcFVCkOwYbWDYz0PY4pI9HuT4/vNQltwdPl0xLYOWUhmDklduc9PbFY2i+GdX0nxzCzRiTRLS2litJ943IrsGEZGcnbyAcdMULp8/1/4Fv+GE+vy/T/AINzvqpaxPLa6Jf3ELbZYreR0bAOCFJB5q7VLWIJbrRL+3hXdLLbyIi5AySpAHNTO/K7FxtzK55JYeNbm4sYJbv4lfZbh0Bkg/sIP5Z9NwXB+tdh4s1PVvDvgyxl/t3/AEprqOObUPsifcYkk+XgjgY4HPFdB4UsbnTfCmmWV3H5dxBbqkibgdpHbI4qh450/UdQ0mz/ALLs/tdxbX0Nx5PmrHuCEk8scCrla9vNfmRHa/l+hymjeJJL/WbO1i+JX2t5JVH2f+wvL80ZyV3Y4yO9XvHHiS80rxRaWQ8R/wBiWUloZWl+wi53PuwBjBI4/lWxBr/i+S4iSbwR5UTOA8n9qxNsGeTgDnHpUGvwa9aeNbXWdJ0T+04ksWt3X7UkOCXz1b6enek+n9dBrr/XUg8FaxJq2qTBfGv9txxRZa3/ALK+zbSSMNuwM9+Peu6rn9G1fxFe33lan4X/ALNt9hPn/wBoRzc9htUZ59a6CmxIKKKKQwooooAKKKKACiiigArlfG19qtt/Y1rpOofYZr6/W3ebyVlwpU/wt7geldVXK+NrHVbn+xrrSdP+3TWN+tw8PnLFlQp/ib3I9aOq9V+YdHYzNSn8WeEIE1W+1uDWdPSREuYns0gaNGIG5Sp5OSOtQeOPEt5pXiezs18Sf2LZSWZlaX7CLnc+7AGMEjj+VWNQg8VeL4U0rUNEh0bTmkV7qVrxJ3kVTnaoUcEkDk1Y16312z8aWus6Ton9pwpYNbMv2pIdpL56t7D070dr/wBaf5h3t/WpD4K1iTVtUmC+Nf7bjiiy1v8A2V9m2kkYbdgZ78e9c5feMb1PEWsWt343/sdLa7aKCD+yVuMoO+4L+HNd7o2r+Ir2+8rU/C/9m2+wnz/7Qjm57Daozz61F4W0q903UfEMt3D5aXeoNNAd6nehA54PH40dfl+qDp8/0Kei3t+3hLUtWHib+2UaCR7ab7Atv5bIGz8vfkDqO1cTZeNbieyhluviX9muHQGSD+wg/lt3XcFwcetetaxBLdaJf28K7pZbeREXIGSVIA5rjtF1HxnpGiWWnf8ACE+b9lhWLzP7VhXdgYzjBx+dHV/L9Q6L5/oS+KtW1PTNE8Prb6+ltJd3EcM+pSW8YUqUJLlG4XsccVQtdd1ex17TLeHxbY+Jo7ucRTW9vbxq8Kd5Mxk4A75rZ8QaVf8AiK38OPc6Ug8q9Sa9tZJEkWNNpBBJ4fr2pNZ8KQ22p6JqGgaTbQTW16puDaokJMJBDZ6Ajpxyaa317/5C6fL/ADM/xHrGpL42k0uLxZbaDZpZJMGnghcO5YggF8c49+1WvCOt6nc6/eaXPq1vrtnDAJV1K3hVArk48s7TtJxzxVmfwymoeP7jUNR0y2utPOnpFG06JIBIHJOFOSDg9cU/TPD76N44urjT7GO20i5slDCDaiCZWP8AAD129wMUo9L+f6jl1t5focbfeMLxPEGr21345/sdbe7eKG3/ALJFxlB0O4L+HPpXSWms3g+Huravb+I/7XljjleC7+wi32FV6bCOcHnJHeoLI+K9A1bW/snhX+0Le8vnuI5v7Qii4IAHBye1at4dd8QeDdYtbvQv7PvZYHigg+1pL5mV4O4YA545qdfZ+dh6c/zM220/xw+kQanB4shupXgWdbSbTY0VyVztLKc+2a6bw1rP/CQeHbPVPLETTod6A5CsCQw/MGuZttQ8cJpEGmQeE4bWVIFgW7m1KN1TC43FFGffArp/DejL4f8AD1npayeaYE+aTGNzEksfzJrR21tt0/EhXsr7mrXO+MU1lNHlvtI1n+zjZwyzSJ9lSXzsLkDLfd6H866Kud8YvrL6PLY6Ro39oG8hlhkf7UkXk5XAOG+91P5VnK9tDSNr6jPBi61Lo8OoavrX9ofbYIpo4/sqReTkZIyv3uo9OlYnhfxTq0mu3UOsTCWwub6a1spdir5UkZP7tsAZ3L0J5yuK2/Bja1Fo8On6vov9n/YoIoY5PtSS+dgYJwv3eg9etUNK8KTz+GtX03UojbyXGoz3NvIGDFMsDHIMHggjOPwrSVlNtbf8FfjYhX5bdf8AgE2nXesa0/iayh1T7LNbX3k2s/2dH8lQFJG04Ddxz61jGHxmPF66B/wmfWx+2ef/AGXD/f27dv65z+FbPgXTdasBrE2uW6RXV3d+bmN1ZX+UDcME4BI6HFWzpd4fiOureT/oI0o25l3D/WebuxjOenfGKlKzXp+n+Y76P+uv+Rl+L9Q1jw14Ps3bXP8ATDdpFPqH2RPuMWyfLwRwMcD0rE0bxJJf6zZ2sXxK+1vJKo+z/wBheX5ozkruxxkd66vxzp+o6hpNn/Zdn9ruLa+huPJ81Y9wQknljgVFBr/i+S4iSbwR5UTOA8n9qxNsGeTgDnHpRHe77/5BLb5f5mX4j1jUl8bSaXF4sttBs0skmDTwQuHcsQQC+Oce/arXhHW9TudfvNLn1a312zhgEq6lbwqgVyceWdp2k454qzP4ZTUPH9xqGo6ZbXWnnT0ijadEkAkDknCnJBweuKfpnh99G8cXVxp9jHbaRc2ShhBtRBMrH+AHrt7gYoj0v5/qEutvL9DO8aP4l06/s7jTvEn2a1vr2GzS2+wxv5W4YLbm5bkE4469a2dTk1XQ/At/NNqf2vUra2kkF35Cx5YZIOwZXjgfhWN40TxLqN/Z2+neG/tNrY3sN4lz9ujTzdoyV2tyvJIzz06Vs6nHquueBb+GbTPsmpXNtJGLTz1kwxyAN4wvPB/Gk/4bt/Wn/DlacyMWw8TaofDMlrcXCvrzvFDbylFG/wA9Q0cm0DGFBbPGP3ZrW8B6pfav4YW61G4NxcefLGZCirkKxA4UAVa07w7ZINK1C6tB/alnZpAJN5+TC4IwDtPVueetVvAulXujeGxaX8Pkz/aJX27g3DOSDkEjpVu3M/66ozV+Vf10Z0tef+I9Y1JfG0mlxeLLbQbNLJJg08ELh3LEEAvjnHv2r0CuSn8MpqHj+41DUdMtrrTzp6RRtOiSASByThTkg4PXFT1X9dGV0f8AXUreEdb1O51+80ufVrfXbOGASrqVvCqBXJx5Z2naTjniqvhfxTq0mu3UOsTCWwub6a1spdir5UkZP7tsAZ3L0J5yuK1tM8Pvo3ji6uNPsY7bSLmyUMINqIJlY/wA9dvcDFVdK8KTz+GtX03UojbyXGoz3NvIGDFMsDHIMHggjOPwoT6+T/P/AC2B9vP9P89ybTrvWNafxNZQ6p9lmtr7ybWf7Oj+SoCkjacBu459axjD4zHi9dA/4TPrY/bPP/suH+/t27f1zn8K2fAum61YDWJtct0iuru783Mbqyv8oG4YJwCR0OKtnS7w/EddW8n/AEEaUbcy7h/rPN3YxnPTvjFCVmvT9P8AML6P+uv+RsaZb3lrp8UN/ffbrpQd9x5Qi38/3RwOOPwq3RRQAUUUUAFVNTgu7nTZ4bC8NndMv7qcIr7W7ZDAgj1q3RQ9QRwqeOZl0JrSWAHxSkn2M2IHLTHo/wDuY+bPTHeuu0qC8ttMgi1C8N5dqv72fYqbm74CgAD0rCk0S5b4mw6yLVDZrpphM+VyJd54xnP3e+Paupp9L9/6/wCCD3sFFFFIAooooAKKKKACiiigDnbnU7yP4gWGmJNizlsZJnj2jlwwAOcZ/WuirjfEVvrtt4xsNZ0nRf7Tjis3gdPtSQ4LMD1b6elaGk6x4kvNQSHUvCv9n2xBLXH9oxy7TjgbVGeaI6r7/wA2D0f3fkjoqKKKACiiigAooooAKKKKANbxD/x9Wn/XN/8A2SubvdZ0rTZFjv8AUrO1dhlVnnVCR7ZNdJ4i/wCPm0/65v8A+yV5R4G0PSdc0i41jVrK3v8AUrq6lFw11GJDGVYgIN2QMDHT1o6h0ud79og+zfafOj8jbv8AN3Dbt65z0x71mL4q8OuwVdf0tmY4AF5GST+dcho6LYW/jjRrMsdLs1Y26liwjZ4mLoD6A9vesfR9Ovr7wrZwRfDnTJfOtVVdQkuYAWyv+sI2789+uaL9vL8Q/wCCerXl/Z6dB599dwWsOdvmTyBFz6ZPFUY/FHh+aVIotd0ySR2Cqi3cZLE9ABnk1xnirSLrTfh7oGkyPBdXUV7bQ5mBMTNk4BHUp2+lXNL8L61DqltLe6F4Jjt0kDO9paOJVx3QkYBzTW79RdE/I7Q6hZLfrYNeW4vGXetuZV8wr6hc5xwae11brdraNcRC5dS6wlxvZR1IHXHvXnuu6TNqfxIvJLKTytSs9LiuLN88eYJD8p9mBKn61asNXi1vx/ot9GhjZtLnWWJvvRSBwGQ+4OaS1t8/1/yG9L/L9P8AM6y68Q6LY3DW95rGn286Y3RTXKIwyMjIJz0qxHqVhLYG/jvbZ7IAsbhZVMYA6ndnGBg1x3xB0nTZJdEuX0+0aefWLaKaUwqWkQ5G1jjJGAOD6Vr+K7S2sfh/rFvZ28VvAlnLtihQIq5BJwBx1pN2g5Dt7yRuw3lrcWYu4bmGS2KlhMkgKEDqdw4xTorq3ntVuop4pLdl3rKjgoV9c9MV55pmfDWkDTXLf2ZqunGa0ZjxFP5WXj+jfeHvkVS2LfeGfAWj3bMumXpAuQG2iQquUQn0J/lVNatLy/X/ACJT0T9WejWmuaTfzmCy1SyuZh1jhuEdh+ANX68y8XR2Xhx2uR4Cszp9pJG0WoW94ls5bjHCDfwTj8M16Yp3KD6jNJbXHqnZi1SvNZ0vTpFjvtSs7WRxlVnnVCfoCau9q898C6JpGu6Rc6vqtnb3+pXN1KLlrlBIYyGICDOQMDHTHX6UdQ6XPQEdZEV0YMrDIZTkEVR/t7R/tv2L+1rH7Vu2+R9oTfn025zmuM1P7B4d8D+JrXw3fXDNbP8APHvJFoXIDKhxwAMnGTg1pjwR4U/4RTyf7OtDCbbf9s2DzPu537+vv1x+FJtJN9BpbI6e81Gx06NHvry3tUdtqtPKqBj6DJ5NF7qFlpsAnvry3tYi20STyqik+mSevBrzB2l13wd4HTVA0v2i/EMhfq6YdQT7lQOaj8Sw6ne+E76PVLadE0S18lJZUKi5lMmwSL2I8sdfVzTlpfyFHVo9S/tOw+2x2X262+1yJvSDzV3svqFzkjg80S6lYQX0VlLe20d3KMxwPKokcc8hc5PQ/lXnGoWc9z4xkuLNC99Y6Nb3VsqjJZkc5X/gS7l/GlmjnufGXhzWbu2lt57+/mCRTKVeOFE2opB6H7zY/wBqnbW3n+thJ6X8v0ud9deIdFsbhre81jT7edMboprlEYZGRkE56Vctbu2vrZbizuIriB87ZYXDq2Dg4I461xXxB0nTZJdEuX0+0aefWLaKaUwqWkQ5G1jjJGAOD6V0mqWNla+GLyygnt9ItTC6LKgWJIN2fm7Acn2qfstlW1SJv7f0b7Z9j/tew+1btvk/aU359Nuc5q9LLHBE0ssixxoMs7nAUepNebf8IzBZeHxYah4KtLuFIMPqGmSxtM+B98bwrZ74yfxFaGp2Vn4j8H6Db2OqRyxmSOSGHUZdpvlQcxvjkn1wDyPxpsSOusta0rUpWisdTsrqRRlkgnVyB9Aadfatp2liM6hqFraeZnZ9omWPdjrjJGeorgr+y0ywubC91PwrJoTW90nl3+lyRMgYnAD4AO09Dle/vXVeMdOsr3wvqUt1Z288kFnM0LyxKxjOw8qSODwOnpSbtG44q8rGnY6tpuqeZ/Z+oWl35eN/2eZZNuemcE46Gm3us6Vpsix3+pWdq7DKrPOqEj2yay/BOn2Vn4T0ye1s7eCaezhaZ4olVpDsHLEDk8nr61geBtD0nXNIuNY1ayt7/Urq6lFw11GJDGVYgIN2QMDHT1qpK0muxKd1c7t7u2jtDdvcRLbBN5mLgIF9d3THvSQ3lrcWYu4bmGS2KlhMkgKEDqdw4xXmaIthofj/AEazLHS7NCbdSxYRs8ZLoD6A9veremZ8NaQNNct/Zmq6cZrRmPEU/lZeP6N94e+RUt6Nrsn95SWqX9dD0SCeG6gSe3ljmhkG5JI2DKw9QR1qSuf8Df8AIjaL/wBeqfyroKqSs7Exd1cKKKKQwooooAKq32pWOmRLLf3ttaRs21XnlWME+gJPWrVcb48ghurvwxBcRJNDJqyK8cihlYbW4IPWjqkHRs6Sy1vStSkaOw1OyupFGSsFwrkD6A0X2taVpkix3+p2VpIw3Ks86xkj1AJrjfHmg6PpHh8atptjbWGo2k8TW0lrGsTMxcDb8uM5BNV/Flhe6l8Q7CGys9JuZv7MZjHqsZeIDzOSAP4v/r0en9aXD+vxsdxZa7pGpTmCx1Wxupgu4xwXCO2PXAPSo5/Eug207wXGt6bFNGdrxyXaKyn0IJ4rI8LaFqOm3s0+o6V4Ztcx7Y5NJt2R+vIYsOlcfY6Lqup+I/Eslhpnhq7RNRdWbV4GkcHHRSB0o62Dpc9NtdZ0u+imls9Ss7iOEZleGdXEY9WIPHQ9fSqv/CWeG/8AoYNK/wDA2P8AxrNj0ptL8FamLjT9JtL2S1m84aXD5cTYVtvUAnj1964/w/4Z1+58PafPBongmWGS3RkkurSRpWBHBcgct60dX8g6Hps+s6Xa2kV3calZw202PKmknVUfIyMMTg8elNstb0nUpTFYapZXUgGSkFwjkD1wDXG+PrdoNP8ADFvHpdtdsmoRqLFNqRSHY3yDcMBfqKyZbWX/AISrw6LrwlbeGB9sBS5tZI5DKwBPlHywAA3TnNNau3nYT0V/K56Pe67pGnT+RfarY2sxXd5c9wiNj1wT0qey1Cy1KEzWN5b3UQOC8EquoPpkGvPPEEc0nxNnEPhm219hpkeYJ5I0Efzn5hvBGe3HrU/gyAr461VptJj0KdbOMf2bCVZHUt/rdy/KT24HelHX8RvT8DsZ/Eug207wXGt6bFNGdrxyXaKyn0IJ4qeDWdLubOW8t9Ss5bWHPmzRzqyJgZOWBwOPWvM7LRNW1PX/ABHLYaZ4Zu411ORWfVrd5JAcDhSB93+ua6PUNNuNM+GmtxXdlpNpcNbTM6aXEY4j8vBwRnOKV/c5vK47e9bzOih8TaDczLDBremyyucKiXcbMx9gDUt7pFtqEyyzS3qsq7QIL6aEY+iOAT79a5618I+GrzwhbfadIsI/MskaSdYER1+QEtuAznvmrXw+ubi78C6XLcuzybGQOxyWVWIU/kBVNWbXYlO6T7l7/hGbD/n41X/wbXX/AMcq/HNa20kOni5Xz/LykUk26RlHG75iWb3JzVmuRvf+Sq6X/wBgyb/0MUuqX9bMfS/9bnXVlz+JdBtp3guNb02KaM7Xjku0VlPoQTxWpXk1lomranr/AIjlsNM8M3ca6nIrPq1u8kgOBwpA+7/XNLrb+ug+lz0+y1Kx1OJpbC9t7uNW2s8EqyAH0JB60p1CyW/Wwa8txeMu9bcyr5hX1C5zjg1laJbPoGgTS6na6RYtGXlm/syIxw7QOuCM5wK8ofxNok0E3iR9RA8TC+F1DCYpMCJflEG7bjBTOeeuKel7C1tc9ylljgiaWWRY40GWdzgKPUmqllrWlalK0VjqdldSKMskE6uQPoDXN+JobbxdoOkG0vrQLcTR3MVrcybFvABkxnHPfsDjHSsi/stMsLmwvdT8KyaE1vdJ5d/pckTIGJwA+ADtPQ5Xv70Lez9BNq10d3fa1pWmSLHf6nZWkjDcqzzrGSPUAmm2Wu6RqU5gsdVsbqYLuMcFwjtj1wD0riPF1he6l8RbGCxtNJuphpjMY9VjLxY8zqAB97/69bnhbQtR029mn1HSvDNrmPbHJpNuyP15DFh0ojqrvzHLRnV02SRIo2kkdUjQFmZjgKB1JNOrO1//AJFzVP8Ar0l/9ANKTsmxxV2kQf8ACWeG/wDoYNK/8DY/8aj1BtBvLWPVLrVzFasNiTw6rJBE3J7o4Unr78e1ef8Ahvw1r114b0+e30TwVNDJCrJJeWjtMw9XIGCa6D4g2CQeFdLsrK0so/8AiYwKkBjxBuJPBUfwknmnJW08xJ3+4vRt4QmlSKLxK0kjsFVF8RTEsT0AHncmt241XSNFWK1vdUtbVgg2Ld3QDso4zlzlvqc1yel+F9ah1S2lvdC8Ex26SBne0tHEq47oSMA5qr4usL3UviLYwWNppN1MNMZjHqsZeLHmdQAPvf8A16Oy/rYO529lrukalOYLHVbG6mC7jHBcI7Y9cA9Kde63pWmyiK/1OytZGGQk9wqEj6E1heF9C1HTb2afUdK8M2uY9scmk27I/XkMWHSsS18PrHealfpo2leKoL26eVbrz0MsY6eXhwV+XpwwoA9EjkjmjWSJ1eNhlWU5BHsadXKeB10y3t9SsdNivrUwXRM1leFSbdmGcJjI2nqOTXV0AgooooAKKKKACobq7trG3a4vLiK3gTG6SZwijPAyTxU1RXNtDeW0ttcRLLDKpR0YZDA9QaH5Ah4kRohKrqYyu4MDwR659Kjtby2v7dbizuYbiBs7ZIXDqccHBHFebm11iG//AOFepOBYSL5yXu/Mq2WSDFj+9n5c+h6V6Ra2sFlaRWttEsUEShERRgKB2p+f9f1/wQ8iaiiikAUUUUAFFFFABRRRQBC11brdraNcRC5dS6wlxvZR1IHXHvU1cje/8lV0v/sGTf8AoYrrqFqr/wBbg97f1sFFFFABRRRQAUUUUAFFFFAGt4h/4+rT/rm//slef33gLTrrUJ720v8AVNKluDunGnXXlLKfVhg816B4h/4+rT/rm/8A7JXnMvjLU7u9u4vD/hqbVILSUwS3DXSQL5g6hQ2S2KXUfQ2LDwzpumaDNo9nG0VvMjrIwbLuWGCxJ6tV3TNPi0rS7XT4GdobaJYkLkFiAMDOAOapeHfEMPiGylmS3mtp4JTDcW0ww8TjqD+fWsqbxzFF4sGkCxdrMTraPqAk+RbhlJEe3HPTGc9arW9u/wDX6k9L9jX8Q+H7fxHp8dnc3FzbrHMsySWzhHVlzjBIOOtZMHgXyLiKb/hKvE8nluG2SahlWwc4I28itXxDrf8AYNlb3P2fz/Ouorfbv243nGeh6ela9Jd0N9mZyaLbR+IpdbDy/aZbZbZlJGzaG3ZxjOc+9Urfwjptr4rl8RQGZLuVCjxhh5RJxlsYzk4Hequu+J9S07X4NH0vQv7TuJbY3B/0tYdqhtp+8MHt3qzo2reIb29MWqeGP7NtwhIn+3xzZbjC7VGfXn2oXdef/BB+ZV13wNba/qH2u51rWocOskcEF0FiidRgMqlTg98+pNaX/CPwt4Zl0Oe+vrmGWN4nuLiUPMQ2f4iOozgcdhWNL4y1O7vbuLw/4am1SC0lMEtw10kC+YOoUNktitjw74hh8Q2UsyW81tPBKYbi2mGHicdQfz60JXVugN63DUfDVhqvh1NEuvMNukaIkgYCRCowGBxgHj0qN/CelT+GbfQLmJ7izt0VYzI2HUr0YMMYP0rcooeoLQ49vhzpdxDLFf6hq+ohkKxG9u/N8jPGUBGAfcg114GFAHYYrOOrZ8SLo8UO8i2NxPLvx5Y3bVGMcknd3GNtaVHQOoVy194D0651Ge+tL7VNLluDunGn3RiWU+rDB5+mK6msjw9rn9vW13N9n8j7PeS2uN+7dsON3QYz6UdQvZDtM8OaVpOjtpVrar9lkB81ZPmMpYYYsT1JrB/4VppO37ONR1kaduz/AGcL0/Z8ZzjbjOM+9alr4pgkXXpbmEwQaRM0cjht28BQxbGBj6c1jf8ACca39iGqf8IbdnSCvm+eLuMy+X/e8rr056/jRfr/AF5D8jo73w/Y3o0tSHhj0ydZreOHCqCoICkY6YPQYqbW9It9e0e50y6eVILhQrtEQGHIPGQR29Kyta8WLYeHrHVtOs/7QW+lijgj83yt3mdOSDj8agtte8XS3UMc/gnyIWcB5f7VibYpPLYA5x6UWvdMS0s0a9toNra622rJJMZzaJabWYbdinIOMZz+P4U7UdDttS1LTb+Z5ll0+RpIghAViwwd2R/LFaVFDfULHLa74Gttf1D7Xc61rUOHWSOCC6CxROowGVSpwe+fUmte10WCHQ/7Jup7nUYGVkke+k8x5AxJwzcZ64H0FctqPjXxNpf2f7X4K8tbidbeE/2rGd8jfdHCnGcdTxXSaHqGsX6zHV9C/sooR5Y+1pP5nXP3Rxjj86Erq3QHozE/4VxYBPs41rXhY42/YRfnydv93GM4/Gti+8KaPf6Nb6U9sY7a2wbcxMVeEjoVbrn/ACazJvHMUXiwaQLF2sxOto+oCT5FuGUkR7cc9MZz1rX8Q6vcaHpv2+LT2vIImBuQkm144+7gYO7HXGRR0v8A1/X/AA4dbGTb+ANPW6hnv9T1jVVhcSRQ6heGSNGHQ4wOfrWl4i8Nx+I4I4ZtT1KziUMrpZT+WJQ2AQ4wdw4/U1BeeK4Bc6bZ6TEupXd+BKiJJtVIe8rtg4HpxyeK6GhrTUE9boxPDvhqLw3DJDDqep3cTKqol7OJFiC5wEAA2jn9BVC+8BaddahPe2l/qmlS3B3TjTrryllPqwwea6qih6u4LQw4PCWlWvhq40G2jkhtblGWV1bMjFhgsWOct9ak1Hw1Yar4dTRLrzDbpGiJIGAkQqMBgcYB49K2KKHruC0KelabDo+k2unW7SNDbRiNGkILED1wB/KrlFFDdwWgUUUUAFFFFABWN4i8N23iSC2jnu7y1a2mE0UtpIEdWAI6kH17Vs1j+IvEEPh6xime3luZ7iUQW9vEPmlkPQZ7DjrSYGbZ+A7C3v4by91HVtVe3bfCuo3fmrG394DA5+tWNc8IW+uapDqJ1PVLG5ih8kPY3AiJXOeTtJ6+9UY/GWpWd9aw+IPDU+lwXUohiuVuknQOegbb93NbfiLXI/D2jS37xGeQFY4YFODLIxwqjr1+lN7B1KmjeFf7HvvtX9v67ffIV8q9vPNj574wOavaVodtpFzqE9u8zNf3BuJRIQQGIxhcAcfXNQ+G9dHiDTGuWtmtbmGZ4Li2ZtxikU8rnAz2P40uj63/AGte6tbfZ/K/s+6+z7t+7zOAc9Bjr05o6/1sLoaN5bJe2U9pIWEc8bRsV6gEYOK5GH4dRW0CQQeKfFEUMahUjTUAqqB0AAXgV1moXX2HTbq72b/IieXZnG7aCcZ7dK5Cy8XeK9Qsoby18D+ZbzoJI3/taIblPQ4K5pdSuhvS+G7a4g0mKe7vJm0yZZ4pZJAzyMoI+ckc9e2Kn1bRbfWGsWnkmjeyuVuYmiIB3Lng5B4Oeapar4lbRdEtLu906X7fdMkUdhE4djMw+5u6YHrWdH4y1KzvrWHxB4an0uC6lEMVyt0k6Bz0Dbfu5quvz/Enp8vwN9NFto/EUuth5ftMtstsykjZtDbs4xnOfekGi248RnXFkmFy1sLZkBGxlDbgSMZzn3rSopDORn8AW8moXl5Br+v2TXcxmkjtLwRpuPsF/nV+DwpDFoV9pM+q6rew3qlXlu7gSSICMYUkcfka1768h07T7i9uG2w28bSOfYDJpumXU19pdrdz2/2eWaJZGh37tmRnGcDn8KLaWDrc5ZfhvZGJbe417xDdWYAU2s1/mJlH8JAUcfSuglv7DREhsltrtY0jAjS1sJpUVRwBlEIHTp1rTrI1rXP7HudKh+z+d9vvFtc79vl5BO7oc9OnFO72DTcT/hJrD/n31X/wU3X/AMbqnrHha18SXdpqo1HVrCeOHYjWknkPtY5wwZdwPscfSrviHW/7Bsre5+z+f511Fb7d+3G84z0PT0qlrfimew1aPR9K0ibVNSaLz2iWVYkSPOMs7cde1TowHaT4S/snUEu/+Eg1682gjyby98yM5GOVwKpz+ALeTULy8g1/X7JruYzSR2l4I03H2C/zq1oniqa/1aTSNV0ibStSWLzlieRZUkTOMq44OO9Z/wDwmGv3WpajbaV4T+3Q2Vy1u039oxxZYf7LL7j1p9QL/wDwhkD6HcaRdazrN3b3EivI9zch3IGPkBK8KccgfnXRJDHHCsKRqsSrsVAOAOmMelZ+iXuqX1rJJquj/wBlzK+Fi+0rPuXA+bK9O/HtWnQwRzI8C6P/AGIdJb7Q1slw1xbkyYe1YnOI2ABABz1z1qG38Aaet1DPf6nrGqrC4kih1C8MkaMOhxgc/WtTXdR1mwEH9kaF/apfd5g+1pB5eMY+8Oc8/lXO6d418S6pJcLa+C94trhrac/2pGNjrjcOVGcZ7cULfQHtqbGueELfXNUh1E6nqljcxQ+SHsbgRErnPJ2k9fek0zwyug3L37a9r9+qRsDDd3JnXHXIQLktxxjmr3iLXI/D+jSX7xGaQFUhgVsGWRjhVB56n2pnhvXR4g0xrlrZrW5hmeC4tmbcYpFPK5wM9j+NC8gfmH/CTWH/AD76r/4Kbr/43ThfWWuwXOnrHfxrLCyu0tjND8pGDhpEAzz0qraeKI/7V1DTdVgXTri0UzKXl3JNB/z0VsDpzkdqs+Htal16zkvvsLW1m7kWryP88yf3yuBtB7cnI5osmgvZlvStNh0fSbXTrdpGhtoxGjSEFiB64A/lVXxD4ft/Eenx2dzcXNuscyzJJbOEdWXOMEg461rUUPXcFpscnB4F8i4im/4SrxPJ5bhtkmoZVsHOCNvIq1rnhC31zVIdROp6pY3MUPkh7G4ERK5zydpPX3roqKAOf0bwr/Y999q/t/Xb75CvlXt55sfPfGBzVS68A6fLeT3NjqWr6UZ3MksenXZiR2PViuDz9K6uigDCsNN0rwfp7i3hu3E0u6WRYpbmWVyPvNtBPbrjH51L/wAJNYf8++q/+Cm6/wDjdbFFAFayvor+EywpcKobbie3khbP+66g4564xVmiigAooooAKKKqancXdpps9xY2YvLiNdyW5l8vzPYHB59OKG7AtSu2h2zeJU10vN9qS1NqEyNm3duzjGc596065+Pxfpr+ET4iLFbdUy0R++JOnl4/vbuK1NKubu80yC5vrMWVxIu5rfzPM2Z6AnA5x14p26dgv1LlFFFIAooooAKKKKACiiigDntd8I2+u6lb37alqdjcwRGJXsZxESpOTk7SaTSfCX9k6gl3/wAJBr15tBHk3l75kZyMcrgVd8Ra5H4e0aW/eIzyArHDApwZZGOFUdev0pnhvXR4g0xrlrZrW5hmeC4tmbcYpFPK5wM9j+NC8gfmbFFFFABRRRQAUUUUAFFFFAGt4h/4+rT/AK5v/wCyV41c6x4dstQvP7Vk1XwtqRnYyLaSSGO49JAApRs+u3869l8Q/wDH1af9c3/9krJpdQ6Hn+neLNQs/C+sapem4ubeKXy9LluYBFLc7hhRtAGRuxyByM1lxeEPGx8KyaQy+Hwk7m4eR3m+0eaTu3bhxvBxz04r1SimCPMdd8RLqnw80+/vcw3FrqUEd8hHMciN8+QPzx710CfE/wAHSSLGmsZZiAB9mm5J/wCAV11FHX+vIVux5h46/wCEb/4T6x/4Sj/jw/s5tv8ArPv+Zx/q+emfatTwXc+AY9Vlg8Kvi8liy64n5QH/AKacd67uiiOisN6nmFzrHh2y1C8/tWTVfC2pGdjItpJIY7j0kAClGz67fzrpfBOpanqdtfSXj3E1ks+LG5uYBFJNHjqVAAxnocDNdVRQtED1dwpCQqlmIAAySe1LVe/s11DT7izaWWJZ42jZ4iAygjBwSDz+FJ3toNb6mH4RBvY77Xn5bU5y8RI5ECfLGPxALf8AAq6SorW2is7SG1gQJDCgjRR2UDAFS1Tt0EvMK850bxNp3gu41fS9faazkfUJrmCQwOyTI5yCpUGvRqKXW4aWOC8PfapdD8S6wNHe5TUbp5rexuPkaeLaBzkHqM8YrFHiHw3aWuzSdc1/TL9Y8R6WqSTbHxwgSRWXr2BA+ler0UrdvL8A9TzXxhPNc/DvRJ/EkXlO95bm9TaVwvO7IHIOOw5FVtIufhPaavaTaa+y+WUCA4uj854H3uO/evU6KpPVvzF0sFFFFIZyHj7/AFfh3/sOW3/s1bPiXWk0DQLm/K75FXbDGOskh4VR+Na1FHS39dB31ueVxeEPGx8KyaQy+Hwk7m4eR3m+0eaTu3bhxvBxz04roLXxwp8HQ3c8Jk1hnNkbED53uhwVx2H8R9Aa7Sijy/r+rfoLzPNdD0+X4daikupi3ay1Yqs9zFGFW0uCSQntEc4B7Edq9Koop3AKKKKQBRRRQAUUUUAFFFFABRRRQAVzPjSa2h0+2a/0eXULATAzSwMRJa46SKF+bj1BBFdNRSY0eWL4khNzbQ+D9f1jVbp50ElncxNLGI8/MWd0DKMd9xrR19tZ8R+M4oNCSweLQiJJGvi/lNOw4Hy8kqOfYk16FRTF3POtNk13w342WfX005bbXSIS1gX8tZ1HyE7+hYZHHXj0qLSvGGheHPEfieDVr77PLLqJdF8l3yNoGflU16VRR/w35Acw/ibSPEnhjWpNJu/tCw2sgkPlumCUbH3gPSvONF/4VT/Yll/an/H/AOSv2j/j6+/jn7vHX04r26ijqHQ47xBf6XL4a0y5Gky6lojMjefAXWS1UD5ZVGN/HqCCK51fEkJubaHwfr+sardPOgks7mJpYxHn5izugZRjvuNep0Udbia0sFFZU1vr7TOYNT01Iix2K+nyMwHYEiYZPvgURW/iATIZtT0x4gw3qmnSKxHcAmY4Pvg/SgZn+Kj/AGhPpmgKQft8++4H/TCPDPn6nav410vQYFUV0uAa2+rFpHuGgFuoYjaiA7jt4zknGeewqW9S9khAsLi3gl3ctPA0q49MB156c5o6B1LNcj48jnit9I1SK2luI9N1CO4njhXc/lgEEgd8ZrW+zeJP+gtpX/gsk/8Aj9X7JL6OFhf3FvPLu4aCBolA9MF25685/CjzDyZwOt+J9N8Ztpmk6A015N9uhmmcQOqwIhySxYCrviu/0iz19X1yzvdPjEAFvrVnJICeeY28sZHsDkfSu6oo9P66AcD4X1y4v/EsdvpGp6hq2hiBjNcXkAURyfwhX2qWPsRXLH/hAv8AhJPEP/CV/wDH5/aMnlf6/wC5x/zz4656817PRR1Doc54MufDUukPD4WfNjDKQwxJw55P+s5ro6rXqXskIFhcW8Eu7lp4GlXHpgOvPTnNUPs3iT/oLaV/4LJP/j9DdwsbFch4E/1nib/sOXH/ALLXTWSX0cLC/uLeeXdw0EDRKB6YLtz15z+FWaFo/wCvIOljz3X21nxH4zig0JLB4tCIkka+L+U07DgfLySo59iTTNOk13w342WfX105LbXCIi1gX8tZ1HyE7+hYZHHXj0r0Wihaf1/X9WB6nnHiLT5PiJfywacYEstJ3BLuSPcJ7jH+rB/55jjce57Gus8M67HrVgyND9lvrRvIu7Q9YXHp/snsfStuq16l7JCBYXFvBLu5aeBpVx6YDrz05zQtFYHqyzRWP9m8Sf8AQW0r/wAFkn/x+j7N4k/6C2lf+CyT/wCP0AbFFY/2bxJ/0FtK/wDBZJ/8fo+zeJP+gtpX/gsk/wDj9AGxRWP9m8Sf9BbSv/BZJ/8AH6Ps3iT/AKC2lf8Agsk/+P0AbFFY/wBm8Sf9BbSv/BZJ/wDH6Ps3iT/oLaV/4LJP/j9AGxRVayS9jhIv7i3nl3cNBA0SgemC7c9ec/hVmgAooooAKKKKAPPJtEsv+FuxwbG+zSWv9pPb7v3ZuAxQSbemcc/XmvQ6KKFtb+v66A9XcKKKKACiiigAooooAKKKKAPPdfbWfEfjOKDQksHi0IiSRr4v5TTsOB8vJKjn2JNN02TXvDnjZZteTT1ttdIhLWBfy1uFHyE7+hYZHHXj0r0Sihaf1/X9WB6hRRRQAUUUUAFFFFABRRRQBreIf+Pq0/65v/7JWTWt4h/4+rT/AK5v/wCyVk0AFFFFABRRRQAUUUUAFFFFABRRRQAUUUUAFFFFABRRRQAUUUUAFFFFABRRRQAUUUUAFFFFABRRRQAUUUUAFFFFABRRRQAUUUUAFFFFABRRRQAUUUUAFFFFABRRRQAUUUUAFFFFABRRRQAUUUUAFFFFABRRRQAUUUUAFFFFABRRRQAUUUUAFFFFABRRRQAUUUUAFFFFABRRRQAUUUUAFFFFABRRRQAUUUUAFFFFABRRRQAUUUUAFFFFABRRRQAUUUUAFFFFAGt4h/4+rT/rm/8A7JWTWt4h/wCPq0/65v8A+yVk0AFFFFABRRRQAUUUUAFFFFABRRRQAUUUUAFFFFABRRRQAUUUUAFFFFABRRRQAUUUUAFFFFABRRRQAUUUUAFFFFABRRRQAUUUUAFFFFABRRRQAUUUUAFFFFABRRRQAUUUUAFFFFABRRRQAUUUUAFFFFABRRRQAUUUUAFFFFABRRRQAUUUUAFFFFABRRRQAUUUUAFFFFABRRRQAUUUUAFFFFABRRRQAUUUUAFFFFABRRRQAUUUUAFFFFABRRRQAUUUUAFFFFAGt4h/4+rT/rm//slZNdVL9tMpMNxCiYAAaIk9PUMP5U3/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OXorqP+Jl/wA/cH/fhv8A4uj/AImX/P3B/wB+G/8Ai6ALFFFFABRRRQAUUUUAFFFFABRRRQAUUUUAFFFFABRRRQAUUUUAFFFFABRRRQAUUUUAFFFFABRRRQAUUUUAFFFFABRRRQAUUUUAFFFFABRRRQAUUUUAFFFFABRRRQAUUUUAFFFFABRRRQAUUUUAFFFFABRRRQAUUUUAFFFFABRRRQAUUUUAFFFFABRRRQAUUUUAFFFFABRRRQAUUUUAFFFFABRRRQAUUUUAFFFFABRRRQAUUUUAFFFFABRRRQAUUUUAFFFFABRRRQB//9k=">
          <a:extLst>
            <a:ext uri="{FF2B5EF4-FFF2-40B4-BE49-F238E27FC236}">
              <a16:creationId xmlns:a16="http://schemas.microsoft.com/office/drawing/2014/main" id="{C16BC1FF-A947-48BD-BF90-2F650B393A72}"/>
            </a:ext>
          </a:extLst>
        </xdr:cNvPr>
        <xdr:cNvSpPr>
          <a:spLocks noChangeAspect="1" noChangeArrowheads="1"/>
        </xdr:cNvSpPr>
      </xdr:nvSpPr>
      <xdr:spPr bwMode="auto">
        <a:xfrm>
          <a:off x="5381625" y="571500"/>
          <a:ext cx="304800" cy="306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8</xdr:row>
      <xdr:rowOff>0</xdr:rowOff>
    </xdr:from>
    <xdr:to>
      <xdr:col>13</xdr:col>
      <xdr:colOff>368300</xdr:colOff>
      <xdr:row>18</xdr:row>
      <xdr:rowOff>63500</xdr:rowOff>
    </xdr:to>
    <xdr:sp macro="" textlink="">
      <xdr:nvSpPr>
        <xdr:cNvPr id="3073" name="m_-3917299118235794044_x0000_i1031">
          <a:extLst>
            <a:ext uri="{FF2B5EF4-FFF2-40B4-BE49-F238E27FC236}">
              <a16:creationId xmlns:a16="http://schemas.microsoft.com/office/drawing/2014/main" id="{33EC9063-9824-E9A2-EA2D-2C621FE164DD}"/>
            </a:ext>
          </a:extLst>
        </xdr:cNvPr>
        <xdr:cNvSpPr>
          <a:spLocks noChangeAspect="1" noChangeArrowheads="1"/>
        </xdr:cNvSpPr>
      </xdr:nvSpPr>
      <xdr:spPr bwMode="auto">
        <a:xfrm>
          <a:off x="7429500" y="1536700"/>
          <a:ext cx="3670300" cy="1968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7</xdr:row>
      <xdr:rowOff>0</xdr:rowOff>
    </xdr:from>
    <xdr:to>
      <xdr:col>20</xdr:col>
      <xdr:colOff>304800</xdr:colOff>
      <xdr:row>8</xdr:row>
      <xdr:rowOff>114300</xdr:rowOff>
    </xdr:to>
    <xdr:sp macro="" textlink="">
      <xdr:nvSpPr>
        <xdr:cNvPr id="3074" name="AutoShape 2">
          <a:extLst>
            <a:ext uri="{FF2B5EF4-FFF2-40B4-BE49-F238E27FC236}">
              <a16:creationId xmlns:a16="http://schemas.microsoft.com/office/drawing/2014/main" id="{B45BD3E0-71C4-3EA7-F453-32C8E3C1CA2F}"/>
            </a:ext>
          </a:extLst>
        </xdr:cNvPr>
        <xdr:cNvSpPr>
          <a:spLocks noChangeAspect="1" noChangeArrowheads="1"/>
        </xdr:cNvSpPr>
      </xdr:nvSpPr>
      <xdr:spPr bwMode="auto">
        <a:xfrm>
          <a:off x="165100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B71D-32C9-471E-AD23-34AF428E10D6}">
  <sheetPr codeName="Sheet1">
    <tabColor rgb="FFF3C1FF"/>
  </sheetPr>
  <dimension ref="A1:B17"/>
  <sheetViews>
    <sheetView tabSelected="1" zoomScale="130" zoomScaleNormal="130" workbookViewId="0">
      <pane ySplit="4" topLeftCell="A5" activePane="bottomLeft" state="frozen"/>
      <selection activeCell="B5" sqref="B5:B16"/>
      <selection pane="bottomLeft" activeCell="A5" sqref="A5"/>
    </sheetView>
  </sheetViews>
  <sheetFormatPr baseColWidth="10" defaultColWidth="8.83203125" defaultRowHeight="15" x14ac:dyDescent="0.2"/>
  <cols>
    <col min="1" max="1" width="18.5" bestFit="1" customWidth="1"/>
    <col min="2" max="2" width="103.6640625" customWidth="1"/>
  </cols>
  <sheetData>
    <row r="1" spans="1:2" ht="29" x14ac:dyDescent="0.2">
      <c r="A1" s="4" t="s">
        <v>0</v>
      </c>
      <c r="B1" s="5" t="s">
        <v>330</v>
      </c>
    </row>
    <row r="3" spans="1:2" ht="16" thickBot="1" x14ac:dyDescent="0.25"/>
    <row r="4" spans="1:2" ht="20" thickBot="1" x14ac:dyDescent="0.25">
      <c r="A4" s="8" t="s">
        <v>964</v>
      </c>
      <c r="B4" s="9" t="s">
        <v>965</v>
      </c>
    </row>
    <row r="5" spans="1:2" s="2" customFormat="1" ht="12" x14ac:dyDescent="0.15">
      <c r="A5" s="29" t="s">
        <v>261</v>
      </c>
      <c r="B5" s="12" t="s">
        <v>239</v>
      </c>
    </row>
    <row r="6" spans="1:2" s="2" customFormat="1" ht="12" x14ac:dyDescent="0.15">
      <c r="A6" s="30" t="s">
        <v>260</v>
      </c>
      <c r="B6" s="7" t="s">
        <v>244</v>
      </c>
    </row>
    <row r="7" spans="1:2" s="2" customFormat="1" ht="12" x14ac:dyDescent="0.15">
      <c r="A7" s="30" t="s">
        <v>262</v>
      </c>
      <c r="B7" s="7" t="s">
        <v>299</v>
      </c>
    </row>
    <row r="8" spans="1:2" s="2" customFormat="1" ht="12" x14ac:dyDescent="0.15">
      <c r="A8" s="30" t="s">
        <v>263</v>
      </c>
      <c r="B8" s="7" t="s">
        <v>300</v>
      </c>
    </row>
    <row r="9" spans="1:2" s="2" customFormat="1" ht="12" x14ac:dyDescent="0.15">
      <c r="A9" s="30" t="s">
        <v>264</v>
      </c>
      <c r="B9" s="7" t="s">
        <v>240</v>
      </c>
    </row>
    <row r="10" spans="1:2" s="2" customFormat="1" ht="12" x14ac:dyDescent="0.15">
      <c r="A10" s="30" t="s">
        <v>266</v>
      </c>
      <c r="B10" s="7" t="s">
        <v>1</v>
      </c>
    </row>
    <row r="11" spans="1:2" s="2" customFormat="1" ht="12" x14ac:dyDescent="0.15">
      <c r="A11" s="30" t="s">
        <v>265</v>
      </c>
      <c r="B11" s="7" t="s">
        <v>2</v>
      </c>
    </row>
    <row r="12" spans="1:2" s="2" customFormat="1" ht="12" x14ac:dyDescent="0.15">
      <c r="A12" s="30" t="s">
        <v>267</v>
      </c>
      <c r="B12" s="7" t="s">
        <v>301</v>
      </c>
    </row>
    <row r="13" spans="1:2" s="2" customFormat="1" ht="12" x14ac:dyDescent="0.15">
      <c r="A13" s="30" t="s">
        <v>268</v>
      </c>
      <c r="B13" s="7" t="s">
        <v>302</v>
      </c>
    </row>
    <row r="14" spans="1:2" s="2" customFormat="1" ht="24" x14ac:dyDescent="0.15">
      <c r="A14" s="30" t="s">
        <v>269</v>
      </c>
      <c r="B14" s="7" t="s">
        <v>303</v>
      </c>
    </row>
    <row r="15" spans="1:2" s="2" customFormat="1" ht="12" x14ac:dyDescent="0.15">
      <c r="A15" s="30" t="s">
        <v>270</v>
      </c>
      <c r="B15" s="7" t="s">
        <v>358</v>
      </c>
    </row>
    <row r="16" spans="1:2" s="2" customFormat="1" ht="13" thickBot="1" x14ac:dyDescent="0.2">
      <c r="A16" s="31" t="s">
        <v>271</v>
      </c>
      <c r="B16" s="32" t="s">
        <v>241</v>
      </c>
    </row>
    <row r="17" spans="1:2" s="2" customFormat="1" ht="11" collapsed="1" x14ac:dyDescent="0.15">
      <c r="A17" s="3"/>
      <c r="B1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673D3-D031-4192-B934-CC977C272778}">
  <sheetPr>
    <tabColor rgb="FF0070C0"/>
  </sheetPr>
  <dimension ref="A1:B16"/>
  <sheetViews>
    <sheetView zoomScale="130" zoomScaleNormal="130" workbookViewId="0">
      <pane ySplit="4" topLeftCell="A5" activePane="bottomLeft" state="frozen"/>
      <selection activeCell="B26" sqref="B26"/>
      <selection pane="bottomLeft" activeCell="A5" sqref="A5"/>
    </sheetView>
  </sheetViews>
  <sheetFormatPr baseColWidth="10" defaultColWidth="8.83203125" defaultRowHeight="15" x14ac:dyDescent="0.2"/>
  <cols>
    <col min="1" max="1" width="22.5" bestFit="1" customWidth="1"/>
    <col min="2" max="2" width="103.6640625" customWidth="1"/>
  </cols>
  <sheetData>
    <row r="1" spans="1:2" ht="29" x14ac:dyDescent="0.2">
      <c r="A1" s="4" t="s">
        <v>1667</v>
      </c>
      <c r="B1" s="5" t="s">
        <v>1670</v>
      </c>
    </row>
    <row r="3" spans="1:2" ht="16" thickBot="1" x14ac:dyDescent="0.25"/>
    <row r="4" spans="1:2" ht="20" thickBot="1" x14ac:dyDescent="0.25">
      <c r="A4" s="8" t="s">
        <v>964</v>
      </c>
      <c r="B4" s="9" t="s">
        <v>965</v>
      </c>
    </row>
    <row r="5" spans="1:2" s="2" customFormat="1" ht="12" x14ac:dyDescent="0.15">
      <c r="A5" s="29" t="s">
        <v>1671</v>
      </c>
      <c r="B5" s="12" t="s">
        <v>1679</v>
      </c>
    </row>
    <row r="6" spans="1:2" s="2" customFormat="1" ht="12" x14ac:dyDescent="0.15">
      <c r="A6" s="30" t="s">
        <v>220</v>
      </c>
      <c r="B6" s="7" t="s">
        <v>1680</v>
      </c>
    </row>
    <row r="7" spans="1:2" s="2" customFormat="1" ht="12" x14ac:dyDescent="0.15">
      <c r="A7" s="30" t="s">
        <v>11</v>
      </c>
      <c r="B7" s="7" t="s">
        <v>1681</v>
      </c>
    </row>
    <row r="8" spans="1:2" s="2" customFormat="1" ht="12" x14ac:dyDescent="0.15">
      <c r="A8" s="30" t="s">
        <v>1672</v>
      </c>
      <c r="B8" s="7" t="s">
        <v>1682</v>
      </c>
    </row>
    <row r="9" spans="1:2" s="2" customFormat="1" ht="12" x14ac:dyDescent="0.15">
      <c r="A9" s="30" t="s">
        <v>1685</v>
      </c>
      <c r="B9" s="7" t="s">
        <v>1683</v>
      </c>
    </row>
    <row r="10" spans="1:2" s="2" customFormat="1" ht="48" x14ac:dyDescent="0.15">
      <c r="A10" s="30" t="s">
        <v>1673</v>
      </c>
      <c r="B10" s="7" t="s">
        <v>1684</v>
      </c>
    </row>
    <row r="11" spans="1:2" s="2" customFormat="1" ht="24" x14ac:dyDescent="0.15">
      <c r="A11" s="30" t="s">
        <v>1674</v>
      </c>
      <c r="B11" s="7" t="s">
        <v>1686</v>
      </c>
    </row>
    <row r="12" spans="1:2" s="2" customFormat="1" ht="24" x14ac:dyDescent="0.15">
      <c r="A12" s="30" t="s">
        <v>1675</v>
      </c>
      <c r="B12" s="7" t="s">
        <v>1687</v>
      </c>
    </row>
    <row r="13" spans="1:2" s="2" customFormat="1" ht="60" x14ac:dyDescent="0.15">
      <c r="A13" s="30" t="s">
        <v>1676</v>
      </c>
      <c r="B13" s="7" t="s">
        <v>1688</v>
      </c>
    </row>
    <row r="14" spans="1:2" s="2" customFormat="1" ht="12" x14ac:dyDescent="0.15">
      <c r="A14" s="30" t="s">
        <v>1677</v>
      </c>
      <c r="B14" s="7" t="s">
        <v>1689</v>
      </c>
    </row>
    <row r="15" spans="1:2" s="2" customFormat="1" ht="72" x14ac:dyDescent="0.15">
      <c r="A15" s="30" t="s">
        <v>1678</v>
      </c>
      <c r="B15" s="7" t="s">
        <v>1690</v>
      </c>
    </row>
    <row r="16" spans="1:2" s="2" customFormat="1" ht="11" collapsed="1" x14ac:dyDescent="0.15">
      <c r="A16" s="3"/>
      <c r="B1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6451-F2F2-4D7B-9B71-8E6275B0464D}">
  <sheetPr>
    <tabColor rgb="FF0070C0"/>
  </sheetPr>
  <dimension ref="A1:B16"/>
  <sheetViews>
    <sheetView zoomScale="130" zoomScaleNormal="130" workbookViewId="0">
      <pane ySplit="4" topLeftCell="A5" activePane="bottomLeft" state="frozen"/>
      <selection activeCell="B26" sqref="B26"/>
      <selection pane="bottomLeft" activeCell="A5" sqref="A5"/>
    </sheetView>
  </sheetViews>
  <sheetFormatPr baseColWidth="10" defaultColWidth="8.83203125" defaultRowHeight="15" x14ac:dyDescent="0.2"/>
  <cols>
    <col min="1" max="1" width="22.5" bestFit="1" customWidth="1"/>
    <col min="2" max="2" width="103.6640625" customWidth="1"/>
  </cols>
  <sheetData>
    <row r="1" spans="1:2" ht="29" x14ac:dyDescent="0.2">
      <c r="A1" s="4" t="s">
        <v>1668</v>
      </c>
      <c r="B1" s="5" t="s">
        <v>1669</v>
      </c>
    </row>
    <row r="3" spans="1:2" ht="16" thickBot="1" x14ac:dyDescent="0.25"/>
    <row r="4" spans="1:2" ht="20" thickBot="1" x14ac:dyDescent="0.25">
      <c r="A4" s="8" t="s">
        <v>964</v>
      </c>
      <c r="B4" s="9" t="s">
        <v>965</v>
      </c>
    </row>
    <row r="5" spans="1:2" s="2" customFormat="1" ht="12" x14ac:dyDescent="0.15">
      <c r="A5" s="29" t="s">
        <v>1671</v>
      </c>
      <c r="B5" s="12" t="s">
        <v>1679</v>
      </c>
    </row>
    <row r="6" spans="1:2" s="2" customFormat="1" ht="12" x14ac:dyDescent="0.15">
      <c r="A6" s="30" t="s">
        <v>220</v>
      </c>
      <c r="B6" s="7" t="s">
        <v>1680</v>
      </c>
    </row>
    <row r="7" spans="1:2" s="2" customFormat="1" ht="12" x14ac:dyDescent="0.15">
      <c r="A7" s="30" t="s">
        <v>11</v>
      </c>
      <c r="B7" s="7" t="s">
        <v>1681</v>
      </c>
    </row>
    <row r="8" spans="1:2" s="2" customFormat="1" ht="12" x14ac:dyDescent="0.15">
      <c r="A8" s="30" t="s">
        <v>1672</v>
      </c>
      <c r="B8" s="7" t="s">
        <v>1682</v>
      </c>
    </row>
    <row r="9" spans="1:2" s="2" customFormat="1" ht="12" x14ac:dyDescent="0.15">
      <c r="A9" s="30" t="s">
        <v>1691</v>
      </c>
      <c r="B9" s="7" t="s">
        <v>1692</v>
      </c>
    </row>
    <row r="10" spans="1:2" s="2" customFormat="1" ht="12" x14ac:dyDescent="0.15">
      <c r="A10" s="30" t="s">
        <v>1685</v>
      </c>
      <c r="B10" s="7" t="s">
        <v>1683</v>
      </c>
    </row>
    <row r="11" spans="1:2" s="2" customFormat="1" ht="24" x14ac:dyDescent="0.15">
      <c r="A11" s="30" t="s">
        <v>1673</v>
      </c>
      <c r="B11" s="7" t="s">
        <v>1693</v>
      </c>
    </row>
    <row r="12" spans="1:2" s="2" customFormat="1" ht="24" x14ac:dyDescent="0.15">
      <c r="A12" s="30" t="s">
        <v>1674</v>
      </c>
      <c r="B12" s="7" t="s">
        <v>1694</v>
      </c>
    </row>
    <row r="13" spans="1:2" s="2" customFormat="1" ht="24" x14ac:dyDescent="0.15">
      <c r="A13" s="30" t="s">
        <v>1675</v>
      </c>
      <c r="B13" s="7" t="s">
        <v>1687</v>
      </c>
    </row>
    <row r="14" spans="1:2" s="2" customFormat="1" ht="60" x14ac:dyDescent="0.15">
      <c r="A14" s="30" t="s">
        <v>1676</v>
      </c>
      <c r="B14" s="7" t="s">
        <v>1695</v>
      </c>
    </row>
    <row r="15" spans="1:2" s="2" customFormat="1" ht="11" x14ac:dyDescent="0.15">
      <c r="A15" s="3"/>
      <c r="B15" s="1"/>
    </row>
    <row r="16" spans="1:2" s="2" customFormat="1" ht="11" collapsed="1" x14ac:dyDescent="0.15">
      <c r="A16" s="3"/>
      <c r="B1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83B0-F2F4-4264-8089-50995EA6643C}">
  <sheetPr codeName="Sheet2">
    <tabColor rgb="FF0070C0"/>
  </sheetPr>
  <dimension ref="A1:B16"/>
  <sheetViews>
    <sheetView zoomScale="120" zoomScaleNormal="12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34.83203125" customWidth="1"/>
    <col min="3" max="3" width="17.5" bestFit="1" customWidth="1"/>
  </cols>
  <sheetData>
    <row r="1" spans="1:2" s="33" customFormat="1" ht="32" x14ac:dyDescent="0.2">
      <c r="A1" s="33" t="s">
        <v>3</v>
      </c>
      <c r="B1" s="34" t="s">
        <v>357</v>
      </c>
    </row>
    <row r="3" spans="1:2" ht="16" thickBot="1" x14ac:dyDescent="0.25"/>
    <row r="4" spans="1:2" ht="20" thickBot="1" x14ac:dyDescent="0.25">
      <c r="A4" s="8" t="s">
        <v>964</v>
      </c>
      <c r="B4" s="9" t="s">
        <v>965</v>
      </c>
    </row>
    <row r="5" spans="1:2" x14ac:dyDescent="0.2">
      <c r="A5" s="11" t="s">
        <v>260</v>
      </c>
      <c r="B5" s="12" t="s">
        <v>244</v>
      </c>
    </row>
    <row r="6" spans="1:2" ht="25" x14ac:dyDescent="0.2">
      <c r="A6" s="6" t="s">
        <v>4</v>
      </c>
      <c r="B6" s="7" t="s">
        <v>331</v>
      </c>
    </row>
    <row r="7" spans="1:2" x14ac:dyDescent="0.2">
      <c r="A7" s="6" t="s">
        <v>5</v>
      </c>
      <c r="B7" s="7" t="s">
        <v>245</v>
      </c>
    </row>
    <row r="8" spans="1:2" x14ac:dyDescent="0.2">
      <c r="A8" s="6" t="s">
        <v>272</v>
      </c>
      <c r="B8" s="7" t="s">
        <v>242</v>
      </c>
    </row>
    <row r="9" spans="1:2" x14ac:dyDescent="0.2">
      <c r="A9" s="6" t="s">
        <v>273</v>
      </c>
      <c r="B9" s="7" t="s">
        <v>340</v>
      </c>
    </row>
    <row r="10" spans="1:2" x14ac:dyDescent="0.2">
      <c r="A10" s="6" t="s">
        <v>274</v>
      </c>
      <c r="B10" s="7" t="s">
        <v>304</v>
      </c>
    </row>
    <row r="11" spans="1:2" x14ac:dyDescent="0.2">
      <c r="A11" s="6" t="s">
        <v>275</v>
      </c>
      <c r="B11" s="7" t="s">
        <v>305</v>
      </c>
    </row>
    <row r="12" spans="1:2" x14ac:dyDescent="0.2">
      <c r="A12" s="6" t="s">
        <v>276</v>
      </c>
      <c r="B12" s="7" t="s">
        <v>306</v>
      </c>
    </row>
    <row r="13" spans="1:2" x14ac:dyDescent="0.2">
      <c r="A13" s="6" t="s">
        <v>277</v>
      </c>
      <c r="B13" s="7" t="s">
        <v>332</v>
      </c>
    </row>
    <row r="14" spans="1:2" x14ac:dyDescent="0.2">
      <c r="A14" s="6" t="s">
        <v>278</v>
      </c>
      <c r="B14" s="7" t="s">
        <v>243</v>
      </c>
    </row>
    <row r="15" spans="1:2" x14ac:dyDescent="0.2">
      <c r="A15" s="6" t="s">
        <v>279</v>
      </c>
      <c r="B15" s="7" t="s">
        <v>315</v>
      </c>
    </row>
    <row r="16" spans="1:2" x14ac:dyDescent="0.2">
      <c r="A16" s="6" t="s">
        <v>7</v>
      </c>
      <c r="B16" s="7" t="s">
        <v>316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2677-6180-4A26-A161-55A5BF1496A6}">
  <sheetPr codeName="Sheet3">
    <tabColor rgb="FF0070C0"/>
  </sheetPr>
  <dimension ref="A1:B12"/>
  <sheetViews>
    <sheetView zoomScale="130" zoomScaleNormal="13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12.5" customWidth="1"/>
    <col min="3" max="3" width="17.5" bestFit="1" customWidth="1"/>
  </cols>
  <sheetData>
    <row r="1" spans="1:2" s="33" customFormat="1" ht="48" x14ac:dyDescent="0.2">
      <c r="A1" s="33" t="s">
        <v>363</v>
      </c>
      <c r="B1" s="34" t="s">
        <v>1820</v>
      </c>
    </row>
    <row r="3" spans="1:2" ht="16" thickBot="1" x14ac:dyDescent="0.25"/>
    <row r="4" spans="1:2" ht="20" thickBot="1" x14ac:dyDescent="0.25">
      <c r="A4" s="8" t="s">
        <v>964</v>
      </c>
      <c r="B4" s="9" t="s">
        <v>965</v>
      </c>
    </row>
    <row r="5" spans="1:2" x14ac:dyDescent="0.2">
      <c r="A5" s="11" t="s">
        <v>364</v>
      </c>
      <c r="B5" s="12" t="s">
        <v>379</v>
      </c>
    </row>
    <row r="6" spans="1:2" x14ac:dyDescent="0.2">
      <c r="A6" s="6" t="s">
        <v>222</v>
      </c>
      <c r="B6" s="7" t="s">
        <v>370</v>
      </c>
    </row>
    <row r="7" spans="1:2" x14ac:dyDescent="0.2">
      <c r="A7" s="6" t="s">
        <v>365</v>
      </c>
      <c r="B7" s="7" t="s">
        <v>371</v>
      </c>
    </row>
    <row r="8" spans="1:2" x14ac:dyDescent="0.2">
      <c r="A8" s="6" t="s">
        <v>366</v>
      </c>
      <c r="B8" s="7" t="s">
        <v>372</v>
      </c>
    </row>
    <row r="9" spans="1:2" x14ac:dyDescent="0.2">
      <c r="A9" s="6" t="s">
        <v>367</v>
      </c>
      <c r="B9" s="7" t="s">
        <v>374</v>
      </c>
    </row>
    <row r="10" spans="1:2" x14ac:dyDescent="0.2">
      <c r="A10" s="6" t="s">
        <v>368</v>
      </c>
      <c r="B10" s="7" t="s">
        <v>373</v>
      </c>
    </row>
    <row r="11" spans="1:2" x14ac:dyDescent="0.2">
      <c r="A11" s="6" t="s">
        <v>369</v>
      </c>
      <c r="B11" s="7" t="s">
        <v>375</v>
      </c>
    </row>
    <row r="12" spans="1:2" x14ac:dyDescent="0.2">
      <c r="A12" s="6" t="s">
        <v>376</v>
      </c>
      <c r="B12" s="7" t="s">
        <v>1347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92A2C-B822-4A1B-88D7-7E5BF6E3B485}">
  <sheetPr codeName="Sheet5">
    <tabColor rgb="FF0070C0"/>
  </sheetPr>
  <dimension ref="A1:B14"/>
  <sheetViews>
    <sheetView zoomScale="120" zoomScaleNormal="12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34.83203125" customWidth="1"/>
    <col min="3" max="3" width="17.5" bestFit="1" customWidth="1"/>
  </cols>
  <sheetData>
    <row r="1" spans="1:2" ht="64" x14ac:dyDescent="0.2">
      <c r="A1" s="33" t="s">
        <v>8</v>
      </c>
      <c r="B1" s="34" t="s">
        <v>361</v>
      </c>
    </row>
    <row r="3" spans="1:2" ht="16" thickBot="1" x14ac:dyDescent="0.25"/>
    <row r="4" spans="1:2" ht="20" thickBot="1" x14ac:dyDescent="0.25">
      <c r="A4" s="8" t="s">
        <v>964</v>
      </c>
      <c r="B4" s="9" t="s">
        <v>965</v>
      </c>
    </row>
    <row r="5" spans="1:2" x14ac:dyDescent="0.2">
      <c r="A5" s="11" t="s">
        <v>260</v>
      </c>
      <c r="B5" s="12" t="s">
        <v>244</v>
      </c>
    </row>
    <row r="6" spans="1:2" x14ac:dyDescent="0.2">
      <c r="A6" s="6" t="s">
        <v>5</v>
      </c>
      <c r="B6" s="7" t="s">
        <v>245</v>
      </c>
    </row>
    <row r="7" spans="1:2" ht="25" x14ac:dyDescent="0.2">
      <c r="A7" s="6" t="s">
        <v>280</v>
      </c>
      <c r="B7" s="7" t="s">
        <v>317</v>
      </c>
    </row>
    <row r="8" spans="1:2" x14ac:dyDescent="0.2">
      <c r="A8" s="6" t="s">
        <v>281</v>
      </c>
      <c r="B8" s="7" t="s">
        <v>307</v>
      </c>
    </row>
    <row r="9" spans="1:2" x14ac:dyDescent="0.2">
      <c r="A9" s="6" t="s">
        <v>282</v>
      </c>
      <c r="B9" s="7" t="s">
        <v>308</v>
      </c>
    </row>
    <row r="10" spans="1:2" x14ac:dyDescent="0.2">
      <c r="A10" s="6" t="s">
        <v>284</v>
      </c>
      <c r="B10" s="7" t="s">
        <v>309</v>
      </c>
    </row>
    <row r="11" spans="1:2" x14ac:dyDescent="0.2">
      <c r="A11" s="6" t="s">
        <v>283</v>
      </c>
      <c r="B11" s="7" t="s">
        <v>310</v>
      </c>
    </row>
    <row r="12" spans="1:2" x14ac:dyDescent="0.2">
      <c r="A12" s="6" t="s">
        <v>285</v>
      </c>
      <c r="B12" s="7" t="s">
        <v>311</v>
      </c>
    </row>
    <row r="13" spans="1:2" x14ac:dyDescent="0.2">
      <c r="A13" s="6" t="s">
        <v>286</v>
      </c>
      <c r="B13" s="7" t="s">
        <v>312</v>
      </c>
    </row>
    <row r="14" spans="1:2" x14ac:dyDescent="0.2">
      <c r="A14" s="6" t="s">
        <v>287</v>
      </c>
      <c r="B14" s="7" t="s">
        <v>313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A8BD0-C494-4F35-81AA-F814664146E0}">
  <sheetPr>
    <tabColor rgb="FF0070C0"/>
  </sheetPr>
  <dimension ref="A1:B50"/>
  <sheetViews>
    <sheetView zoomScale="120" zoomScaleNormal="12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34.83203125" customWidth="1"/>
    <col min="3" max="3" width="17.5" bestFit="1" customWidth="1"/>
  </cols>
  <sheetData>
    <row r="1" spans="1:2" ht="16" x14ac:dyDescent="0.2">
      <c r="A1" s="33" t="s">
        <v>1697</v>
      </c>
      <c r="B1" s="34" t="s">
        <v>1696</v>
      </c>
    </row>
    <row r="3" spans="1:2" ht="16" thickBot="1" x14ac:dyDescent="0.25"/>
    <row r="4" spans="1:2" ht="20" thickBot="1" x14ac:dyDescent="0.25">
      <c r="A4" s="8" t="s">
        <v>964</v>
      </c>
      <c r="B4" s="9" t="s">
        <v>965</v>
      </c>
    </row>
    <row r="5" spans="1:2" x14ac:dyDescent="0.2">
      <c r="A5" s="11" t="s">
        <v>377</v>
      </c>
      <c r="B5" s="12" t="s">
        <v>244</v>
      </c>
    </row>
    <row r="6" spans="1:2" x14ac:dyDescent="0.2">
      <c r="A6" s="6" t="s">
        <v>378</v>
      </c>
      <c r="B6" s="7" t="s">
        <v>245</v>
      </c>
    </row>
    <row r="7" spans="1:2" ht="97" x14ac:dyDescent="0.2">
      <c r="A7" s="6" t="s">
        <v>1698</v>
      </c>
      <c r="B7" s="7" t="s">
        <v>1702</v>
      </c>
    </row>
    <row r="8" spans="1:2" x14ac:dyDescent="0.2">
      <c r="A8" s="6" t="s">
        <v>1699</v>
      </c>
      <c r="B8" s="7" t="s">
        <v>1703</v>
      </c>
    </row>
    <row r="9" spans="1:2" x14ac:dyDescent="0.2">
      <c r="A9" s="6" t="s">
        <v>1700</v>
      </c>
      <c r="B9" s="7" t="s">
        <v>1704</v>
      </c>
    </row>
    <row r="10" spans="1:2" x14ac:dyDescent="0.2">
      <c r="A10" s="6" t="s">
        <v>1701</v>
      </c>
      <c r="B10" s="7" t="s">
        <v>1705</v>
      </c>
    </row>
    <row r="11" spans="1:2" ht="37" x14ac:dyDescent="0.2">
      <c r="A11" s="6" t="s">
        <v>1706</v>
      </c>
      <c r="B11" s="7" t="s">
        <v>1723</v>
      </c>
    </row>
    <row r="12" spans="1:2" x14ac:dyDescent="0.2">
      <c r="A12" s="6" t="s">
        <v>9</v>
      </c>
      <c r="B12" s="7" t="s">
        <v>1722</v>
      </c>
    </row>
    <row r="13" spans="1:2" x14ac:dyDescent="0.2">
      <c r="A13" s="6" t="s">
        <v>1707</v>
      </c>
      <c r="B13" s="7" t="s">
        <v>1721</v>
      </c>
    </row>
    <row r="14" spans="1:2" x14ac:dyDescent="0.2">
      <c r="A14" s="6" t="s">
        <v>1010</v>
      </c>
      <c r="B14" s="7" t="s">
        <v>1720</v>
      </c>
    </row>
    <row r="15" spans="1:2" x14ac:dyDescent="0.2">
      <c r="A15" s="6" t="s">
        <v>1708</v>
      </c>
      <c r="B15" s="7" t="s">
        <v>1719</v>
      </c>
    </row>
    <row r="16" spans="1:2" x14ac:dyDescent="0.2">
      <c r="A16" s="6" t="s">
        <v>1709</v>
      </c>
      <c r="B16" s="7" t="s">
        <v>1718</v>
      </c>
    </row>
    <row r="17" spans="1:2" x14ac:dyDescent="0.2">
      <c r="A17" s="6" t="s">
        <v>1710</v>
      </c>
      <c r="B17" s="7" t="s">
        <v>1717</v>
      </c>
    </row>
    <row r="18" spans="1:2" x14ac:dyDescent="0.2">
      <c r="A18" s="6" t="s">
        <v>1711</v>
      </c>
      <c r="B18" s="7" t="s">
        <v>1716</v>
      </c>
    </row>
    <row r="19" spans="1:2" x14ac:dyDescent="0.2">
      <c r="A19" s="6" t="s">
        <v>1715</v>
      </c>
      <c r="B19" s="7" t="s">
        <v>1714</v>
      </c>
    </row>
    <row r="20" spans="1:2" x14ac:dyDescent="0.2">
      <c r="A20" s="6" t="s">
        <v>1712</v>
      </c>
      <c r="B20" s="7" t="s">
        <v>1713</v>
      </c>
    </row>
    <row r="21" spans="1:2" x14ac:dyDescent="0.2">
      <c r="A21" s="6" t="s">
        <v>1724</v>
      </c>
      <c r="B21" s="7" t="s">
        <v>1755</v>
      </c>
    </row>
    <row r="22" spans="1:2" x14ac:dyDescent="0.2">
      <c r="A22" s="6" t="s">
        <v>1725</v>
      </c>
      <c r="B22" s="7" t="s">
        <v>1754</v>
      </c>
    </row>
    <row r="23" spans="1:2" x14ac:dyDescent="0.2">
      <c r="A23" s="6" t="s">
        <v>1726</v>
      </c>
      <c r="B23" s="7" t="s">
        <v>1753</v>
      </c>
    </row>
    <row r="24" spans="1:2" x14ac:dyDescent="0.2">
      <c r="A24" s="6" t="s">
        <v>1727</v>
      </c>
      <c r="B24" s="7" t="s">
        <v>1752</v>
      </c>
    </row>
    <row r="25" spans="1:2" x14ac:dyDescent="0.2">
      <c r="A25" s="6" t="s">
        <v>1728</v>
      </c>
      <c r="B25" s="7" t="s">
        <v>1751</v>
      </c>
    </row>
    <row r="26" spans="1:2" x14ac:dyDescent="0.2">
      <c r="A26" s="6" t="s">
        <v>1729</v>
      </c>
      <c r="B26" s="7" t="s">
        <v>1750</v>
      </c>
    </row>
    <row r="27" spans="1:2" x14ac:dyDescent="0.2">
      <c r="A27" s="6" t="s">
        <v>1730</v>
      </c>
      <c r="B27" s="7" t="s">
        <v>1749</v>
      </c>
    </row>
    <row r="28" spans="1:2" x14ac:dyDescent="0.2">
      <c r="A28" s="6" t="s">
        <v>1731</v>
      </c>
      <c r="B28" s="7" t="s">
        <v>1748</v>
      </c>
    </row>
    <row r="29" spans="1:2" x14ac:dyDescent="0.2">
      <c r="A29" s="6" t="s">
        <v>1732</v>
      </c>
      <c r="B29" s="7" t="s">
        <v>1747</v>
      </c>
    </row>
    <row r="30" spans="1:2" x14ac:dyDescent="0.2">
      <c r="A30" s="6" t="s">
        <v>1733</v>
      </c>
      <c r="B30" s="7" t="s">
        <v>1746</v>
      </c>
    </row>
    <row r="31" spans="1:2" ht="25" x14ac:dyDescent="0.2">
      <c r="A31" s="6" t="s">
        <v>1734</v>
      </c>
      <c r="B31" s="7" t="s">
        <v>1745</v>
      </c>
    </row>
    <row r="32" spans="1:2" x14ac:dyDescent="0.2">
      <c r="A32" s="6" t="s">
        <v>1735</v>
      </c>
      <c r="B32" s="7" t="s">
        <v>1744</v>
      </c>
    </row>
    <row r="33" spans="1:2" x14ac:dyDescent="0.2">
      <c r="A33" s="6" t="s">
        <v>1736</v>
      </c>
      <c r="B33" s="7" t="s">
        <v>1743</v>
      </c>
    </row>
    <row r="34" spans="1:2" x14ac:dyDescent="0.2">
      <c r="A34" s="6" t="s">
        <v>1737</v>
      </c>
      <c r="B34" s="7" t="s">
        <v>1742</v>
      </c>
    </row>
    <row r="35" spans="1:2" x14ac:dyDescent="0.2">
      <c r="A35" s="6" t="s">
        <v>1738</v>
      </c>
      <c r="B35" s="7" t="s">
        <v>1741</v>
      </c>
    </row>
    <row r="36" spans="1:2" x14ac:dyDescent="0.2">
      <c r="A36" s="6" t="s">
        <v>1739</v>
      </c>
      <c r="B36" s="7" t="s">
        <v>1740</v>
      </c>
    </row>
    <row r="37" spans="1:2" x14ac:dyDescent="0.2">
      <c r="A37" s="6" t="s">
        <v>1756</v>
      </c>
      <c r="B37" s="7" t="s">
        <v>1761</v>
      </c>
    </row>
    <row r="38" spans="1:2" x14ac:dyDescent="0.2">
      <c r="A38" s="6" t="s">
        <v>1757</v>
      </c>
      <c r="B38" s="7" t="s">
        <v>1762</v>
      </c>
    </row>
    <row r="39" spans="1:2" x14ac:dyDescent="0.2">
      <c r="A39" s="6" t="s">
        <v>1758</v>
      </c>
      <c r="B39" s="7" t="s">
        <v>1763</v>
      </c>
    </row>
    <row r="40" spans="1:2" x14ac:dyDescent="0.2">
      <c r="A40" s="6" t="s">
        <v>1759</v>
      </c>
      <c r="B40" s="7" t="s">
        <v>1764</v>
      </c>
    </row>
    <row r="41" spans="1:2" x14ac:dyDescent="0.2">
      <c r="A41" s="6" t="s">
        <v>1760</v>
      </c>
      <c r="B41" s="7" t="s">
        <v>1765</v>
      </c>
    </row>
    <row r="42" spans="1:2" x14ac:dyDescent="0.2">
      <c r="A42" s="6" t="s">
        <v>1766</v>
      </c>
      <c r="B42" s="7" t="s">
        <v>1773</v>
      </c>
    </row>
    <row r="43" spans="1:2" x14ac:dyDescent="0.2">
      <c r="A43" s="6" t="s">
        <v>1767</v>
      </c>
      <c r="B43" s="7" t="s">
        <v>1774</v>
      </c>
    </row>
    <row r="44" spans="1:2" x14ac:dyDescent="0.2">
      <c r="A44" s="6" t="s">
        <v>1768</v>
      </c>
      <c r="B44" s="7" t="s">
        <v>1775</v>
      </c>
    </row>
    <row r="45" spans="1:2" x14ac:dyDescent="0.2">
      <c r="A45" s="6" t="s">
        <v>1769</v>
      </c>
      <c r="B45" s="7" t="s">
        <v>1776</v>
      </c>
    </row>
    <row r="46" spans="1:2" x14ac:dyDescent="0.2">
      <c r="A46" s="6" t="s">
        <v>1770</v>
      </c>
      <c r="B46" s="7" t="s">
        <v>1777</v>
      </c>
    </row>
    <row r="47" spans="1:2" x14ac:dyDescent="0.2">
      <c r="A47" s="6" t="s">
        <v>1771</v>
      </c>
      <c r="B47" s="7" t="s">
        <v>1778</v>
      </c>
    </row>
    <row r="48" spans="1:2" x14ac:dyDescent="0.2">
      <c r="A48" s="6" t="s">
        <v>1772</v>
      </c>
      <c r="B48" s="7" t="s">
        <v>1779</v>
      </c>
    </row>
    <row r="49" spans="1:2" x14ac:dyDescent="0.2">
      <c r="A49" s="6" t="s">
        <v>1780</v>
      </c>
      <c r="B49" s="7" t="s">
        <v>1781</v>
      </c>
    </row>
    <row r="50" spans="1:2" x14ac:dyDescent="0.2">
      <c r="A50" s="6"/>
      <c r="B50"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2B00B-CF0C-4D24-80D1-6B6BDD923E6C}">
  <sheetPr codeName="Sheet6">
    <tabColor rgb="FF0070C0"/>
  </sheetPr>
  <dimension ref="A1:B21"/>
  <sheetViews>
    <sheetView zoomScale="120" zoomScaleNormal="12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34.83203125" customWidth="1"/>
    <col min="3" max="3" width="17.5" bestFit="1" customWidth="1"/>
  </cols>
  <sheetData>
    <row r="1" spans="1:2" s="33" customFormat="1" ht="32" x14ac:dyDescent="0.2">
      <c r="A1" s="33" t="s">
        <v>10</v>
      </c>
      <c r="B1" s="34" t="s">
        <v>348</v>
      </c>
    </row>
    <row r="3" spans="1:2" ht="16" thickBot="1" x14ac:dyDescent="0.25"/>
    <row r="4" spans="1:2" ht="20" thickBot="1" x14ac:dyDescent="0.25">
      <c r="A4" s="8" t="s">
        <v>964</v>
      </c>
      <c r="B4" s="9" t="s">
        <v>965</v>
      </c>
    </row>
    <row r="5" spans="1:2" x14ac:dyDescent="0.2">
      <c r="A5" s="11" t="s">
        <v>260</v>
      </c>
      <c r="B5" s="12" t="s">
        <v>244</v>
      </c>
    </row>
    <row r="6" spans="1:2" x14ac:dyDescent="0.2">
      <c r="A6" s="6" t="s">
        <v>5</v>
      </c>
      <c r="B6" s="7" t="s">
        <v>245</v>
      </c>
    </row>
    <row r="7" spans="1:2" ht="25" x14ac:dyDescent="0.2">
      <c r="A7" s="6" t="s">
        <v>27</v>
      </c>
      <c r="B7" s="7" t="s">
        <v>325</v>
      </c>
    </row>
    <row r="8" spans="1:2" x14ac:dyDescent="0.2">
      <c r="A8" s="6" t="s">
        <v>46</v>
      </c>
      <c r="B8" s="7" t="s">
        <v>328</v>
      </c>
    </row>
    <row r="9" spans="1:2" x14ac:dyDescent="0.2">
      <c r="A9" s="6" t="s">
        <v>289</v>
      </c>
      <c r="B9" s="7" t="s">
        <v>322</v>
      </c>
    </row>
    <row r="10" spans="1:2" ht="25" x14ac:dyDescent="0.2">
      <c r="A10" s="6" t="s">
        <v>290</v>
      </c>
      <c r="B10" s="7" t="s">
        <v>360</v>
      </c>
    </row>
    <row r="11" spans="1:2" x14ac:dyDescent="0.2">
      <c r="A11" s="6" t="s">
        <v>291</v>
      </c>
      <c r="B11" s="7" t="s">
        <v>314</v>
      </c>
    </row>
    <row r="12" spans="1:2" x14ac:dyDescent="0.2">
      <c r="A12" s="6" t="s">
        <v>292</v>
      </c>
      <c r="B12" s="7" t="s">
        <v>238</v>
      </c>
    </row>
    <row r="13" spans="1:2" x14ac:dyDescent="0.2">
      <c r="A13" s="6" t="s">
        <v>293</v>
      </c>
      <c r="B13" s="7" t="s">
        <v>333</v>
      </c>
    </row>
    <row r="14" spans="1:2" x14ac:dyDescent="0.2">
      <c r="A14" s="6" t="s">
        <v>294</v>
      </c>
      <c r="B14" s="7" t="s">
        <v>336</v>
      </c>
    </row>
    <row r="15" spans="1:2" x14ac:dyDescent="0.2">
      <c r="A15" s="6" t="s">
        <v>295</v>
      </c>
      <c r="B15" s="7" t="s">
        <v>334</v>
      </c>
    </row>
    <row r="16" spans="1:2" x14ac:dyDescent="0.2">
      <c r="A16" s="6" t="s">
        <v>296</v>
      </c>
      <c r="B16" s="7" t="s">
        <v>335</v>
      </c>
    </row>
    <row r="17" spans="1:2" x14ac:dyDescent="0.2">
      <c r="A17" s="6" t="s">
        <v>288</v>
      </c>
      <c r="B17" s="7" t="s">
        <v>338</v>
      </c>
    </row>
    <row r="18" spans="1:2" x14ac:dyDescent="0.2">
      <c r="A18" s="6" t="s">
        <v>297</v>
      </c>
      <c r="B18" s="7" t="s">
        <v>337</v>
      </c>
    </row>
    <row r="19" spans="1:2" x14ac:dyDescent="0.2">
      <c r="A19" s="6" t="s">
        <v>155</v>
      </c>
      <c r="B19" s="7" t="s">
        <v>320</v>
      </c>
    </row>
    <row r="20" spans="1:2" x14ac:dyDescent="0.2">
      <c r="A20" s="6" t="s">
        <v>156</v>
      </c>
      <c r="B20" s="7" t="s">
        <v>321</v>
      </c>
    </row>
    <row r="21" spans="1:2" x14ac:dyDescent="0.2">
      <c r="A21" s="6" t="s">
        <v>157</v>
      </c>
      <c r="B21" s="7" t="s">
        <v>319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C0440-5F01-48F2-8361-4A5756B4FE24}">
  <sheetPr>
    <tabColor rgb="FF0070C0"/>
  </sheetPr>
  <dimension ref="A1:B13"/>
  <sheetViews>
    <sheetView zoomScale="120" zoomScaleNormal="120" workbookViewId="0">
      <pane ySplit="4" topLeftCell="A5" activePane="bottomLeft" state="frozen"/>
      <selection activeCell="B25" sqref="B25"/>
      <selection pane="bottomLeft" activeCell="A5" sqref="A5"/>
    </sheetView>
  </sheetViews>
  <sheetFormatPr baseColWidth="10" defaultColWidth="8.83203125" defaultRowHeight="15" x14ac:dyDescent="0.2"/>
  <cols>
    <col min="1" max="1" width="30.33203125" bestFit="1" customWidth="1"/>
    <col min="2" max="2" width="134.83203125" customWidth="1"/>
    <col min="3" max="3" width="17.5" bestFit="1" customWidth="1"/>
  </cols>
  <sheetData>
    <row r="1" spans="1:2" s="33" customFormat="1" ht="16" x14ac:dyDescent="0.2">
      <c r="A1" s="33" t="s">
        <v>1806</v>
      </c>
      <c r="B1" s="34" t="s">
        <v>1807</v>
      </c>
    </row>
    <row r="3" spans="1:2" ht="16" thickBot="1" x14ac:dyDescent="0.25"/>
    <row r="4" spans="1:2" ht="20" thickBot="1" x14ac:dyDescent="0.25">
      <c r="A4" s="8" t="s">
        <v>964</v>
      </c>
      <c r="B4" s="9" t="s">
        <v>965</v>
      </c>
    </row>
    <row r="5" spans="1:2" x14ac:dyDescent="0.2">
      <c r="A5" s="11" t="s">
        <v>219</v>
      </c>
      <c r="B5" s="12" t="s">
        <v>244</v>
      </c>
    </row>
    <row r="6" spans="1:2" x14ac:dyDescent="0.2">
      <c r="A6" s="6" t="s">
        <v>1808</v>
      </c>
      <c r="B6" s="7" t="s">
        <v>1809</v>
      </c>
    </row>
    <row r="7" spans="1:2" x14ac:dyDescent="0.2">
      <c r="A7" s="6" t="s">
        <v>26</v>
      </c>
      <c r="B7" s="7" t="s">
        <v>329</v>
      </c>
    </row>
    <row r="8" spans="1:2" x14ac:dyDescent="0.2">
      <c r="A8" s="6" t="s">
        <v>1810</v>
      </c>
      <c r="B8" s="7" t="s">
        <v>328</v>
      </c>
    </row>
    <row r="9" spans="1:2" x14ac:dyDescent="0.2">
      <c r="A9" s="6" t="s">
        <v>1811</v>
      </c>
      <c r="B9" s="7" t="s">
        <v>1812</v>
      </c>
    </row>
    <row r="10" spans="1:2" x14ac:dyDescent="0.2">
      <c r="A10" s="6" t="s">
        <v>1813</v>
      </c>
      <c r="B10" s="7" t="s">
        <v>1814</v>
      </c>
    </row>
    <row r="11" spans="1:2" ht="217" x14ac:dyDescent="0.2">
      <c r="A11" s="6" t="s">
        <v>1815</v>
      </c>
      <c r="B11" s="7" t="s">
        <v>1816</v>
      </c>
    </row>
    <row r="12" spans="1:2" x14ac:dyDescent="0.2">
      <c r="A12" s="6" t="s">
        <v>1817</v>
      </c>
      <c r="B12" s="7" t="s">
        <v>1818</v>
      </c>
    </row>
    <row r="13" spans="1:2" x14ac:dyDescent="0.2">
      <c r="A13" s="6" t="s">
        <v>1603</v>
      </c>
      <c r="B13" s="7" t="s">
        <v>1654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23A9-155B-4837-A0BA-9698B6A8379B}">
  <sheetPr>
    <tabColor rgb="FF92D050"/>
  </sheetPr>
  <dimension ref="A1:C45"/>
  <sheetViews>
    <sheetView zoomScale="120" zoomScaleNormal="120" workbookViewId="0">
      <pane xSplit="1" ySplit="4" topLeftCell="B5" activePane="bottomRight" state="frozen"/>
      <selection activeCell="D13" sqref="D13"/>
      <selection pane="topRight" activeCell="D13" sqref="D13"/>
      <selection pane="bottomLeft" activeCell="D13" sqref="D13"/>
      <selection pane="bottomRight" activeCell="B5" sqref="B5"/>
    </sheetView>
  </sheetViews>
  <sheetFormatPr baseColWidth="10" defaultColWidth="8.83203125" defaultRowHeight="15" x14ac:dyDescent="0.2"/>
  <cols>
    <col min="1" max="1" width="23" customWidth="1"/>
    <col min="2" max="2" width="57.6640625" customWidth="1"/>
    <col min="3" max="3" width="63" customWidth="1"/>
  </cols>
  <sheetData>
    <row r="1" spans="1:3" s="33" customFormat="1" x14ac:dyDescent="0.2">
      <c r="A1" s="33" t="s">
        <v>1378</v>
      </c>
      <c r="B1" s="33" t="s">
        <v>362</v>
      </c>
      <c r="C1" s="33" t="s">
        <v>1801</v>
      </c>
    </row>
    <row r="2" spans="1:3" x14ac:dyDescent="0.2">
      <c r="C2" s="33" t="s">
        <v>1798</v>
      </c>
    </row>
    <row r="4" spans="1:3" ht="19" x14ac:dyDescent="0.2">
      <c r="A4" s="49" t="s">
        <v>964</v>
      </c>
      <c r="B4" s="50" t="s">
        <v>965</v>
      </c>
    </row>
    <row r="5" spans="1:3" x14ac:dyDescent="0.2">
      <c r="A5" s="6" t="s">
        <v>221</v>
      </c>
      <c r="B5" s="7" t="s">
        <v>323</v>
      </c>
    </row>
    <row r="6" spans="1:3" x14ac:dyDescent="0.2">
      <c r="A6" s="6" t="s">
        <v>236</v>
      </c>
      <c r="B6" s="7" t="s">
        <v>244</v>
      </c>
    </row>
    <row r="7" spans="1:3" x14ac:dyDescent="0.2">
      <c r="A7" s="6" t="s">
        <v>222</v>
      </c>
      <c r="B7" s="7" t="s">
        <v>245</v>
      </c>
    </row>
    <row r="8" spans="1:3" x14ac:dyDescent="0.2">
      <c r="A8" s="6" t="s">
        <v>1360</v>
      </c>
      <c r="B8" s="7" t="s">
        <v>1364</v>
      </c>
    </row>
    <row r="9" spans="1:3" x14ac:dyDescent="0.2">
      <c r="A9" s="6" t="s">
        <v>1361</v>
      </c>
      <c r="B9" s="7" t="s">
        <v>1365</v>
      </c>
      <c r="C9" s="2"/>
    </row>
    <row r="10" spans="1:3" x14ac:dyDescent="0.2">
      <c r="A10" s="6" t="s">
        <v>1362</v>
      </c>
      <c r="B10" s="7" t="s">
        <v>1366</v>
      </c>
    </row>
    <row r="11" spans="1:3" x14ac:dyDescent="0.2">
      <c r="A11" s="6" t="s">
        <v>1363</v>
      </c>
      <c r="B11" s="7" t="s">
        <v>1367</v>
      </c>
      <c r="C11" s="55"/>
    </row>
    <row r="12" spans="1:3" ht="25" x14ac:dyDescent="0.2">
      <c r="A12" s="6" t="s">
        <v>223</v>
      </c>
      <c r="B12" s="7" t="s">
        <v>1376</v>
      </c>
    </row>
    <row r="13" spans="1:3" x14ac:dyDescent="0.2">
      <c r="A13" s="6" t="s">
        <v>220</v>
      </c>
      <c r="B13" s="7" t="s">
        <v>1799</v>
      </c>
    </row>
    <row r="14" spans="1:3" x14ac:dyDescent="0.2">
      <c r="A14" s="6" t="s">
        <v>224</v>
      </c>
      <c r="B14" s="7" t="s">
        <v>1143</v>
      </c>
    </row>
    <row r="15" spans="1:3" x14ac:dyDescent="0.2">
      <c r="A15" s="6" t="s">
        <v>1802</v>
      </c>
      <c r="B15" s="7" t="s">
        <v>1804</v>
      </c>
    </row>
    <row r="16" spans="1:3" x14ac:dyDescent="0.2">
      <c r="A16" s="6" t="s">
        <v>1803</v>
      </c>
      <c r="B16" s="7" t="s">
        <v>1805</v>
      </c>
    </row>
    <row r="17" spans="1:2" x14ac:dyDescent="0.2">
      <c r="A17" s="6" t="s">
        <v>234</v>
      </c>
      <c r="B17" s="7" t="s">
        <v>341</v>
      </c>
    </row>
    <row r="18" spans="1:2" x14ac:dyDescent="0.2">
      <c r="A18" s="6" t="s">
        <v>225</v>
      </c>
      <c r="B18" s="7" t="s">
        <v>1821</v>
      </c>
    </row>
    <row r="19" spans="1:2" x14ac:dyDescent="0.2">
      <c r="A19" s="6" t="s">
        <v>6</v>
      </c>
      <c r="B19" s="7" t="s">
        <v>340</v>
      </c>
    </row>
    <row r="20" spans="1:2" x14ac:dyDescent="0.2">
      <c r="A20" s="6" t="s">
        <v>1368</v>
      </c>
      <c r="B20" s="7" t="s">
        <v>1377</v>
      </c>
    </row>
    <row r="21" spans="1:2" ht="25" x14ac:dyDescent="0.2">
      <c r="A21" s="6" t="s">
        <v>226</v>
      </c>
      <c r="B21" s="7" t="s">
        <v>1800</v>
      </c>
    </row>
    <row r="22" spans="1:2" x14ac:dyDescent="0.2">
      <c r="A22" s="6" t="s">
        <v>227</v>
      </c>
      <c r="B22" s="7" t="s">
        <v>1342</v>
      </c>
    </row>
    <row r="23" spans="1:2" x14ac:dyDescent="0.2">
      <c r="A23" s="6" t="s">
        <v>228</v>
      </c>
      <c r="B23" s="7" t="s">
        <v>1343</v>
      </c>
    </row>
    <row r="24" spans="1:2" x14ac:dyDescent="0.2">
      <c r="A24" s="6" t="s">
        <v>229</v>
      </c>
      <c r="B24" s="7" t="s">
        <v>1341</v>
      </c>
    </row>
    <row r="25" spans="1:2" x14ac:dyDescent="0.2">
      <c r="A25" s="6" t="s">
        <v>230</v>
      </c>
      <c r="B25" s="7" t="s">
        <v>1354</v>
      </c>
    </row>
    <row r="26" spans="1:2" x14ac:dyDescent="0.2">
      <c r="A26" s="6" t="s">
        <v>231</v>
      </c>
      <c r="B26" s="7" t="s">
        <v>1344</v>
      </c>
    </row>
    <row r="27" spans="1:2" x14ac:dyDescent="0.2">
      <c r="A27" s="6" t="s">
        <v>1370</v>
      </c>
      <c r="B27" s="7" t="s">
        <v>1345</v>
      </c>
    </row>
    <row r="28" spans="1:2" x14ac:dyDescent="0.2">
      <c r="A28" s="6" t="s">
        <v>232</v>
      </c>
      <c r="B28" s="7" t="s">
        <v>1346</v>
      </c>
    </row>
    <row r="29" spans="1:2" x14ac:dyDescent="0.2">
      <c r="A29" s="6" t="s">
        <v>1369</v>
      </c>
      <c r="B29" s="7" t="s">
        <v>1138</v>
      </c>
    </row>
    <row r="30" spans="1:2" x14ac:dyDescent="0.2">
      <c r="A30" s="37" t="s">
        <v>1144</v>
      </c>
      <c r="B30" s="7" t="s">
        <v>1137</v>
      </c>
    </row>
    <row r="31" spans="1:2" x14ac:dyDescent="0.2">
      <c r="A31" s="6" t="s">
        <v>1136</v>
      </c>
      <c r="B31" s="7" t="s">
        <v>1136</v>
      </c>
    </row>
    <row r="32" spans="1:2" x14ac:dyDescent="0.2">
      <c r="A32" s="37" t="s">
        <v>1371</v>
      </c>
      <c r="B32" s="7" t="s">
        <v>1145</v>
      </c>
    </row>
    <row r="33" spans="1:2" x14ac:dyDescent="0.2">
      <c r="A33" s="37" t="s">
        <v>1372</v>
      </c>
      <c r="B33" s="7" t="s">
        <v>1146</v>
      </c>
    </row>
    <row r="34" spans="1:2" x14ac:dyDescent="0.2">
      <c r="A34" s="37" t="s">
        <v>1373</v>
      </c>
      <c r="B34" s="7" t="s">
        <v>1139</v>
      </c>
    </row>
    <row r="35" spans="1:2" x14ac:dyDescent="0.2">
      <c r="A35" s="37" t="s">
        <v>1358</v>
      </c>
      <c r="B35" s="7" t="s">
        <v>1148</v>
      </c>
    </row>
    <row r="36" spans="1:2" x14ac:dyDescent="0.2">
      <c r="A36" s="37" t="s">
        <v>1359</v>
      </c>
      <c r="B36" s="7" t="s">
        <v>1153</v>
      </c>
    </row>
    <row r="37" spans="1:2" x14ac:dyDescent="0.2">
      <c r="A37" s="6" t="s">
        <v>946</v>
      </c>
      <c r="B37" s="7" t="s">
        <v>1147</v>
      </c>
    </row>
    <row r="38" spans="1:2" x14ac:dyDescent="0.2">
      <c r="A38" s="6" t="s">
        <v>1149</v>
      </c>
      <c r="B38" s="7" t="s">
        <v>1039</v>
      </c>
    </row>
    <row r="39" spans="1:2" ht="37" x14ac:dyDescent="0.2">
      <c r="A39" s="6" t="s">
        <v>12</v>
      </c>
      <c r="B39" s="7" t="s">
        <v>1135</v>
      </c>
    </row>
    <row r="40" spans="1:2" x14ac:dyDescent="0.2">
      <c r="A40" s="6" t="s">
        <v>233</v>
      </c>
      <c r="B40" s="7" t="s">
        <v>1154</v>
      </c>
    </row>
    <row r="41" spans="1:2" x14ac:dyDescent="0.2">
      <c r="A41" s="37" t="s">
        <v>1150</v>
      </c>
      <c r="B41" s="7" t="s">
        <v>1140</v>
      </c>
    </row>
    <row r="42" spans="1:2" x14ac:dyDescent="0.2">
      <c r="A42" s="37" t="s">
        <v>1151</v>
      </c>
      <c r="B42" s="7" t="s">
        <v>1141</v>
      </c>
    </row>
    <row r="43" spans="1:2" x14ac:dyDescent="0.2">
      <c r="A43" s="37" t="s">
        <v>1152</v>
      </c>
      <c r="B43" s="7" t="s">
        <v>1142</v>
      </c>
    </row>
    <row r="44" spans="1:2" x14ac:dyDescent="0.2">
      <c r="A44" s="6" t="s">
        <v>1374</v>
      </c>
      <c r="B44" s="7" t="s">
        <v>1375</v>
      </c>
    </row>
    <row r="45" spans="1:2" x14ac:dyDescent="0.2">
      <c r="A45" s="6" t="s">
        <v>235</v>
      </c>
      <c r="B45" s="7" t="s">
        <v>339</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637E-EAC6-45E3-8A20-6C2D4CFB76DF}">
  <sheetPr codeName="Sheet10">
    <tabColor rgb="FF92D050"/>
  </sheetPr>
  <dimension ref="A1:E173"/>
  <sheetViews>
    <sheetView zoomScale="140" zoomScaleNormal="140" workbookViewId="0">
      <pane ySplit="4" topLeftCell="A5" activePane="bottomLeft" state="frozen"/>
      <selection activeCell="D13" sqref="D13"/>
      <selection pane="bottomLeft" activeCell="A95" sqref="A95"/>
    </sheetView>
  </sheetViews>
  <sheetFormatPr baseColWidth="10" defaultColWidth="8.83203125" defaultRowHeight="15" x14ac:dyDescent="0.2"/>
  <cols>
    <col min="1" max="1" width="30.33203125" bestFit="1" customWidth="1"/>
    <col min="2" max="2" width="79" customWidth="1"/>
    <col min="3" max="3" width="41.1640625" customWidth="1"/>
    <col min="4" max="4" width="17.5" bestFit="1" customWidth="1"/>
    <col min="5" max="5" width="8.83203125" style="2"/>
  </cols>
  <sheetData>
    <row r="1" spans="1:5" s="33" customFormat="1" x14ac:dyDescent="0.2">
      <c r="A1" s="33" t="s">
        <v>324</v>
      </c>
      <c r="B1" s="33" t="s">
        <v>347</v>
      </c>
      <c r="E1" s="53"/>
    </row>
    <row r="3" spans="1:5" ht="16" thickBot="1" x14ac:dyDescent="0.25"/>
    <row r="4" spans="1:5" ht="20" thickBot="1" x14ac:dyDescent="0.25">
      <c r="A4" s="8" t="s">
        <v>964</v>
      </c>
      <c r="B4" s="9" t="s">
        <v>965</v>
      </c>
      <c r="C4" s="10" t="s">
        <v>258</v>
      </c>
    </row>
    <row r="5" spans="1:5" x14ac:dyDescent="0.2">
      <c r="A5" s="11" t="s">
        <v>16</v>
      </c>
      <c r="B5" s="12" t="s">
        <v>1822</v>
      </c>
      <c r="C5" s="12"/>
    </row>
    <row r="6" spans="1:5" x14ac:dyDescent="0.2">
      <c r="A6" s="6" t="s">
        <v>17</v>
      </c>
      <c r="B6" s="7" t="s">
        <v>255</v>
      </c>
      <c r="C6" s="7"/>
    </row>
    <row r="7" spans="1:5" x14ac:dyDescent="0.2">
      <c r="A7" s="6" t="s">
        <v>18</v>
      </c>
      <c r="B7" s="7" t="s">
        <v>256</v>
      </c>
      <c r="C7" s="7"/>
    </row>
    <row r="8" spans="1:5" x14ac:dyDescent="0.2">
      <c r="A8" s="6" t="s">
        <v>19</v>
      </c>
      <c r="B8" s="7" t="s">
        <v>257</v>
      </c>
      <c r="C8" s="7"/>
    </row>
    <row r="9" spans="1:5" x14ac:dyDescent="0.2">
      <c r="A9" s="6" t="s">
        <v>20</v>
      </c>
      <c r="B9" s="7" t="s">
        <v>244</v>
      </c>
      <c r="C9" s="7"/>
    </row>
    <row r="10" spans="1:5" x14ac:dyDescent="0.2">
      <c r="A10" s="6" t="s">
        <v>21</v>
      </c>
      <c r="B10" s="7" t="s">
        <v>158</v>
      </c>
      <c r="C10" s="7"/>
    </row>
    <row r="11" spans="1:5" x14ac:dyDescent="0.2">
      <c r="A11" s="6" t="s">
        <v>22</v>
      </c>
      <c r="B11" s="7" t="s">
        <v>159</v>
      </c>
      <c r="C11" s="7"/>
    </row>
    <row r="12" spans="1:5" x14ac:dyDescent="0.2">
      <c r="A12" s="6" t="s">
        <v>23</v>
      </c>
      <c r="B12" s="7" t="s">
        <v>160</v>
      </c>
      <c r="C12" s="7"/>
    </row>
    <row r="13" spans="1:5" x14ac:dyDescent="0.2">
      <c r="A13" s="6" t="s">
        <v>1379</v>
      </c>
      <c r="B13" s="7" t="s">
        <v>1399</v>
      </c>
      <c r="C13" s="7"/>
    </row>
    <row r="14" spans="1:5" x14ac:dyDescent="0.2">
      <c r="A14" s="6" t="s">
        <v>1380</v>
      </c>
      <c r="B14" s="7" t="s">
        <v>1400</v>
      </c>
      <c r="C14" s="7"/>
    </row>
    <row r="15" spans="1:5" x14ac:dyDescent="0.2">
      <c r="A15" s="6" t="s">
        <v>24</v>
      </c>
      <c r="B15" s="7" t="s">
        <v>161</v>
      </c>
      <c r="C15" s="7"/>
    </row>
    <row r="16" spans="1:5" x14ac:dyDescent="0.2">
      <c r="A16" s="6" t="s">
        <v>25</v>
      </c>
      <c r="B16" s="7" t="s">
        <v>162</v>
      </c>
      <c r="C16" s="7"/>
    </row>
    <row r="17" spans="1:3" x14ac:dyDescent="0.2">
      <c r="A17" s="6" t="s">
        <v>26</v>
      </c>
      <c r="B17" s="7" t="s">
        <v>329</v>
      </c>
      <c r="C17" s="7"/>
    </row>
    <row r="18" spans="1:3" ht="37" x14ac:dyDescent="0.2">
      <c r="A18" s="6" t="s">
        <v>27</v>
      </c>
      <c r="B18" s="7" t="s">
        <v>346</v>
      </c>
      <c r="C18" s="7"/>
    </row>
    <row r="19" spans="1:3" x14ac:dyDescent="0.2">
      <c r="A19" s="6" t="s">
        <v>28</v>
      </c>
      <c r="B19" s="7" t="s">
        <v>163</v>
      </c>
      <c r="C19" s="7"/>
    </row>
    <row r="20" spans="1:3" x14ac:dyDescent="0.2">
      <c r="A20" s="6" t="s">
        <v>65</v>
      </c>
      <c r="B20" s="7" t="s">
        <v>180</v>
      </c>
      <c r="C20" s="7"/>
    </row>
    <row r="21" spans="1:3" x14ac:dyDescent="0.2">
      <c r="A21" s="6" t="s">
        <v>29</v>
      </c>
      <c r="B21" s="7" t="s">
        <v>164</v>
      </c>
      <c r="C21" s="7"/>
    </row>
    <row r="22" spans="1:3" x14ac:dyDescent="0.2">
      <c r="A22" s="6" t="s">
        <v>30</v>
      </c>
      <c r="B22" s="7" t="s">
        <v>165</v>
      </c>
      <c r="C22" s="7"/>
    </row>
    <row r="23" spans="1:3" x14ac:dyDescent="0.2">
      <c r="A23" s="6" t="s">
        <v>31</v>
      </c>
      <c r="B23" s="7" t="s">
        <v>166</v>
      </c>
      <c r="C23" s="7"/>
    </row>
    <row r="24" spans="1:3" x14ac:dyDescent="0.2">
      <c r="A24" s="6" t="s">
        <v>64</v>
      </c>
      <c r="B24" s="7" t="s">
        <v>15</v>
      </c>
      <c r="C24" s="7"/>
    </row>
    <row r="25" spans="1:3" x14ac:dyDescent="0.2">
      <c r="A25" s="6" t="s">
        <v>87</v>
      </c>
      <c r="B25" s="7" t="s">
        <v>190</v>
      </c>
      <c r="C25" s="7"/>
    </row>
    <row r="26" spans="1:3" x14ac:dyDescent="0.2">
      <c r="A26" s="6" t="s">
        <v>32</v>
      </c>
      <c r="B26" s="7" t="s">
        <v>167</v>
      </c>
      <c r="C26" s="7"/>
    </row>
    <row r="27" spans="1:3" x14ac:dyDescent="0.2">
      <c r="A27" s="6" t="s">
        <v>33</v>
      </c>
      <c r="B27" s="7" t="s">
        <v>168</v>
      </c>
      <c r="C27" s="7"/>
    </row>
    <row r="28" spans="1:3" x14ac:dyDescent="0.2">
      <c r="A28" s="6" t="s">
        <v>34</v>
      </c>
      <c r="B28" s="7" t="s">
        <v>169</v>
      </c>
      <c r="C28" s="7"/>
    </row>
    <row r="29" spans="1:3" x14ac:dyDescent="0.2">
      <c r="A29" s="6" t="s">
        <v>35</v>
      </c>
      <c r="B29" s="7" t="s">
        <v>318</v>
      </c>
      <c r="C29" s="7"/>
    </row>
    <row r="30" spans="1:3" x14ac:dyDescent="0.2">
      <c r="A30" s="6" t="s">
        <v>36</v>
      </c>
      <c r="B30" s="7" t="s">
        <v>237</v>
      </c>
      <c r="C30" s="7"/>
    </row>
    <row r="31" spans="1:3" x14ac:dyDescent="0.2">
      <c r="A31" s="6" t="s">
        <v>37</v>
      </c>
      <c r="B31" s="7" t="s">
        <v>170</v>
      </c>
      <c r="C31" s="7"/>
    </row>
    <row r="32" spans="1:3" x14ac:dyDescent="0.2">
      <c r="A32" s="6" t="s">
        <v>38</v>
      </c>
      <c r="B32" s="7" t="s">
        <v>342</v>
      </c>
      <c r="C32" s="7"/>
    </row>
    <row r="33" spans="1:3" ht="25" x14ac:dyDescent="0.2">
      <c r="A33" s="6" t="s">
        <v>39</v>
      </c>
      <c r="B33" s="7" t="s">
        <v>386</v>
      </c>
      <c r="C33" s="7"/>
    </row>
    <row r="34" spans="1:3" x14ac:dyDescent="0.2">
      <c r="A34" s="6" t="s">
        <v>5</v>
      </c>
      <c r="B34" s="7" t="s">
        <v>245</v>
      </c>
      <c r="C34" s="7"/>
    </row>
    <row r="35" spans="1:3" x14ac:dyDescent="0.2">
      <c r="A35" s="6" t="s">
        <v>40</v>
      </c>
      <c r="B35" s="7" t="s">
        <v>246</v>
      </c>
      <c r="C35" s="7"/>
    </row>
    <row r="36" spans="1:3" ht="25" x14ac:dyDescent="0.2">
      <c r="A36" s="6" t="s">
        <v>1381</v>
      </c>
      <c r="B36" s="7" t="s">
        <v>343</v>
      </c>
      <c r="C36" s="7"/>
    </row>
    <row r="37" spans="1:3" ht="37" x14ac:dyDescent="0.2">
      <c r="A37" s="6" t="s">
        <v>41</v>
      </c>
      <c r="B37" s="7" t="s">
        <v>344</v>
      </c>
      <c r="C37" s="7"/>
    </row>
    <row r="38" spans="1:3" ht="25" x14ac:dyDescent="0.2">
      <c r="A38" s="6" t="s">
        <v>42</v>
      </c>
      <c r="B38" s="7" t="s">
        <v>345</v>
      </c>
      <c r="C38" s="7"/>
    </row>
    <row r="39" spans="1:3" x14ac:dyDescent="0.2">
      <c r="A39" s="6" t="s">
        <v>92</v>
      </c>
      <c r="B39" s="7" t="s">
        <v>193</v>
      </c>
      <c r="C39" s="7"/>
    </row>
    <row r="40" spans="1:3" x14ac:dyDescent="0.2">
      <c r="A40" s="6" t="s">
        <v>43</v>
      </c>
      <c r="B40" s="7" t="s">
        <v>326</v>
      </c>
      <c r="C40" s="7" t="s">
        <v>387</v>
      </c>
    </row>
    <row r="41" spans="1:3" ht="37" x14ac:dyDescent="0.2">
      <c r="A41" s="6" t="s">
        <v>44</v>
      </c>
      <c r="B41" s="7" t="s">
        <v>360</v>
      </c>
      <c r="C41" s="7"/>
    </row>
    <row r="42" spans="1:3" ht="49" x14ac:dyDescent="0.2">
      <c r="A42" s="6" t="s">
        <v>53</v>
      </c>
      <c r="B42" s="7" t="s">
        <v>359</v>
      </c>
      <c r="C42" s="7"/>
    </row>
    <row r="43" spans="1:3" ht="25" x14ac:dyDescent="0.2">
      <c r="A43" s="6" t="s">
        <v>45</v>
      </c>
      <c r="B43" s="7" t="s">
        <v>327</v>
      </c>
      <c r="C43" s="7"/>
    </row>
    <row r="44" spans="1:3" x14ac:dyDescent="0.2">
      <c r="A44" s="6" t="s">
        <v>46</v>
      </c>
      <c r="B44" s="7" t="s">
        <v>328</v>
      </c>
      <c r="C44" s="7"/>
    </row>
    <row r="45" spans="1:3" ht="25" x14ac:dyDescent="0.2">
      <c r="A45" s="6" t="s">
        <v>47</v>
      </c>
      <c r="B45" s="7" t="s">
        <v>322</v>
      </c>
      <c r="C45" s="7" t="s">
        <v>380</v>
      </c>
    </row>
    <row r="46" spans="1:3" x14ac:dyDescent="0.2">
      <c r="A46" s="6" t="s">
        <v>48</v>
      </c>
      <c r="B46" s="7" t="s">
        <v>172</v>
      </c>
      <c r="C46" s="7"/>
    </row>
    <row r="47" spans="1:3" x14ac:dyDescent="0.2">
      <c r="A47" s="6" t="s">
        <v>49</v>
      </c>
      <c r="B47" s="7" t="s">
        <v>173</v>
      </c>
      <c r="C47" s="7"/>
    </row>
    <row r="48" spans="1:3" ht="25" x14ac:dyDescent="0.2">
      <c r="A48" s="6" t="s">
        <v>50</v>
      </c>
      <c r="B48" s="7" t="s">
        <v>174</v>
      </c>
      <c r="C48" s="7" t="s">
        <v>382</v>
      </c>
    </row>
    <row r="49" spans="1:3" x14ac:dyDescent="0.2">
      <c r="A49" s="6" t="s">
        <v>51</v>
      </c>
      <c r="B49" s="7" t="s">
        <v>175</v>
      </c>
      <c r="C49" s="7"/>
    </row>
    <row r="50" spans="1:3" x14ac:dyDescent="0.2">
      <c r="A50" s="6" t="s">
        <v>99</v>
      </c>
      <c r="B50" s="7" t="s">
        <v>171</v>
      </c>
      <c r="C50" s="7"/>
    </row>
    <row r="51" spans="1:3" x14ac:dyDescent="0.2">
      <c r="A51" s="6" t="s">
        <v>100</v>
      </c>
      <c r="B51" s="7" t="s">
        <v>199</v>
      </c>
      <c r="C51" s="7"/>
    </row>
    <row r="52" spans="1:3" x14ac:dyDescent="0.2">
      <c r="A52" s="6" t="s">
        <v>101</v>
      </c>
      <c r="B52" s="7" t="s">
        <v>172</v>
      </c>
      <c r="C52" s="7"/>
    </row>
    <row r="53" spans="1:3" x14ac:dyDescent="0.2">
      <c r="A53" s="6" t="s">
        <v>66</v>
      </c>
      <c r="B53" s="7" t="s">
        <v>181</v>
      </c>
      <c r="C53" s="7"/>
    </row>
    <row r="54" spans="1:3" x14ac:dyDescent="0.2">
      <c r="A54" s="6" t="s">
        <v>67</v>
      </c>
      <c r="B54" s="7" t="s">
        <v>182</v>
      </c>
      <c r="C54" s="7"/>
    </row>
    <row r="55" spans="1:3" x14ac:dyDescent="0.2">
      <c r="A55" s="6" t="s">
        <v>68</v>
      </c>
      <c r="B55" s="7" t="s">
        <v>9</v>
      </c>
      <c r="C55" s="7"/>
    </row>
    <row r="56" spans="1:3" ht="25" x14ac:dyDescent="0.2">
      <c r="A56" s="6" t="s">
        <v>69</v>
      </c>
      <c r="B56" s="7" t="s">
        <v>238</v>
      </c>
      <c r="C56" s="7"/>
    </row>
    <row r="57" spans="1:3" ht="49" x14ac:dyDescent="0.2">
      <c r="A57" s="6" t="s">
        <v>70</v>
      </c>
      <c r="B57" s="7" t="s">
        <v>13</v>
      </c>
      <c r="C57" s="7" t="s">
        <v>381</v>
      </c>
    </row>
    <row r="58" spans="1:3" x14ac:dyDescent="0.2">
      <c r="A58" s="6" t="s">
        <v>71</v>
      </c>
      <c r="B58" s="7" t="s">
        <v>183</v>
      </c>
      <c r="C58" s="7"/>
    </row>
    <row r="59" spans="1:3" ht="25" x14ac:dyDescent="0.2">
      <c r="A59" s="6" t="s">
        <v>72</v>
      </c>
      <c r="B59" s="7" t="s">
        <v>356</v>
      </c>
      <c r="C59" s="7" t="s">
        <v>388</v>
      </c>
    </row>
    <row r="60" spans="1:3" x14ac:dyDescent="0.2">
      <c r="A60" s="6" t="s">
        <v>90</v>
      </c>
      <c r="B60" s="7" t="s">
        <v>192</v>
      </c>
      <c r="C60" s="7"/>
    </row>
    <row r="61" spans="1:3" x14ac:dyDescent="0.2">
      <c r="A61" s="6" t="s">
        <v>84</v>
      </c>
      <c r="B61" s="7" t="s">
        <v>188</v>
      </c>
      <c r="C61" s="7"/>
    </row>
    <row r="62" spans="1:3" x14ac:dyDescent="0.2">
      <c r="A62" s="6" t="s">
        <v>85</v>
      </c>
      <c r="B62" s="7" t="s">
        <v>349</v>
      </c>
      <c r="C62" s="7"/>
    </row>
    <row r="63" spans="1:3" x14ac:dyDescent="0.2">
      <c r="A63" s="6" t="s">
        <v>86</v>
      </c>
      <c r="B63" s="7" t="s">
        <v>189</v>
      </c>
      <c r="C63" s="7"/>
    </row>
    <row r="64" spans="1:3" x14ac:dyDescent="0.2">
      <c r="A64" s="6" t="s">
        <v>93</v>
      </c>
      <c r="B64" s="7" t="s">
        <v>194</v>
      </c>
      <c r="C64" s="7"/>
    </row>
    <row r="65" spans="1:3" x14ac:dyDescent="0.2">
      <c r="A65" s="6" t="s">
        <v>94</v>
      </c>
      <c r="B65" s="7" t="s">
        <v>195</v>
      </c>
      <c r="C65" s="7"/>
    </row>
    <row r="66" spans="1:3" x14ac:dyDescent="0.2">
      <c r="A66" s="6" t="s">
        <v>52</v>
      </c>
      <c r="B66" s="7" t="s">
        <v>176</v>
      </c>
      <c r="C66" s="7"/>
    </row>
    <row r="67" spans="1:3" x14ac:dyDescent="0.2">
      <c r="A67" s="6" t="s">
        <v>54</v>
      </c>
      <c r="B67" s="7" t="s">
        <v>177</v>
      </c>
      <c r="C67" s="7"/>
    </row>
    <row r="68" spans="1:3" x14ac:dyDescent="0.2">
      <c r="A68" s="6" t="s">
        <v>1382</v>
      </c>
      <c r="B68" s="7" t="s">
        <v>1401</v>
      </c>
      <c r="C68" s="7"/>
    </row>
    <row r="69" spans="1:3" x14ac:dyDescent="0.2">
      <c r="A69" s="6" t="s">
        <v>1402</v>
      </c>
      <c r="B69" s="7" t="s">
        <v>1403</v>
      </c>
      <c r="C69" s="7"/>
    </row>
    <row r="70" spans="1:3" x14ac:dyDescent="0.2">
      <c r="A70" s="6" t="s">
        <v>1383</v>
      </c>
      <c r="B70" s="7" t="s">
        <v>1404</v>
      </c>
      <c r="C70" s="7"/>
    </row>
    <row r="71" spans="1:3" x14ac:dyDescent="0.2">
      <c r="A71" s="6" t="s">
        <v>89</v>
      </c>
      <c r="B71" s="7" t="s">
        <v>1405</v>
      </c>
      <c r="C71" s="7"/>
    </row>
    <row r="72" spans="1:3" x14ac:dyDescent="0.2">
      <c r="A72" s="6" t="s">
        <v>55</v>
      </c>
      <c r="B72" s="7" t="s">
        <v>178</v>
      </c>
      <c r="C72" s="7"/>
    </row>
    <row r="73" spans="1:3" x14ac:dyDescent="0.2">
      <c r="A73" s="6" t="s">
        <v>56</v>
      </c>
      <c r="B73" s="7" t="s">
        <v>179</v>
      </c>
      <c r="C73" s="7"/>
    </row>
    <row r="74" spans="1:3" x14ac:dyDescent="0.2">
      <c r="A74" s="6" t="s">
        <v>73</v>
      </c>
      <c r="B74" s="7" t="s">
        <v>355</v>
      </c>
      <c r="C74" s="7"/>
    </row>
    <row r="75" spans="1:3" x14ac:dyDescent="0.2">
      <c r="A75" s="6" t="s">
        <v>74</v>
      </c>
      <c r="B75" s="7" t="s">
        <v>354</v>
      </c>
      <c r="C75" s="7"/>
    </row>
    <row r="76" spans="1:3" x14ac:dyDescent="0.2">
      <c r="A76" s="6" t="s">
        <v>57</v>
      </c>
      <c r="B76" s="7" t="s">
        <v>247</v>
      </c>
      <c r="C76" s="7"/>
    </row>
    <row r="77" spans="1:3" x14ac:dyDescent="0.2">
      <c r="A77" s="6" t="s">
        <v>58</v>
      </c>
      <c r="B77" s="7" t="s">
        <v>248</v>
      </c>
      <c r="C77" s="7"/>
    </row>
    <row r="78" spans="1:3" x14ac:dyDescent="0.2">
      <c r="A78" s="6" t="s">
        <v>59</v>
      </c>
      <c r="B78" s="7" t="s">
        <v>249</v>
      </c>
      <c r="C78" s="7"/>
    </row>
    <row r="79" spans="1:3" x14ac:dyDescent="0.2">
      <c r="A79" s="6" t="s">
        <v>60</v>
      </c>
      <c r="B79" s="7" t="s">
        <v>250</v>
      </c>
      <c r="C79" s="7"/>
    </row>
    <row r="80" spans="1:3" x14ac:dyDescent="0.2">
      <c r="A80" s="6" t="s">
        <v>61</v>
      </c>
      <c r="B80" s="7" t="s">
        <v>251</v>
      </c>
      <c r="C80" s="7"/>
    </row>
    <row r="81" spans="1:3" x14ac:dyDescent="0.2">
      <c r="A81" s="6" t="s">
        <v>62</v>
      </c>
      <c r="B81" s="7" t="s">
        <v>252</v>
      </c>
      <c r="C81" s="7"/>
    </row>
    <row r="82" spans="1:3" x14ac:dyDescent="0.2">
      <c r="A82" s="6" t="s">
        <v>63</v>
      </c>
      <c r="B82" s="7" t="s">
        <v>253</v>
      </c>
      <c r="C82" s="7"/>
    </row>
    <row r="83" spans="1:3" x14ac:dyDescent="0.2">
      <c r="A83" s="6" t="s">
        <v>91</v>
      </c>
      <c r="B83" s="7" t="s">
        <v>254</v>
      </c>
      <c r="C83" s="7"/>
    </row>
    <row r="84" spans="1:3" x14ac:dyDescent="0.2">
      <c r="A84" s="6" t="s">
        <v>75</v>
      </c>
      <c r="B84" s="7" t="s">
        <v>184</v>
      </c>
      <c r="C84" s="7"/>
    </row>
    <row r="85" spans="1:3" x14ac:dyDescent="0.2">
      <c r="A85" s="6" t="s">
        <v>76</v>
      </c>
      <c r="B85" s="7" t="s">
        <v>298</v>
      </c>
      <c r="C85" s="7"/>
    </row>
    <row r="86" spans="1:3" x14ac:dyDescent="0.2">
      <c r="A86" s="6" t="s">
        <v>77</v>
      </c>
      <c r="B86" s="7" t="s">
        <v>185</v>
      </c>
      <c r="C86" s="7"/>
    </row>
    <row r="87" spans="1:3" x14ac:dyDescent="0.2">
      <c r="A87" s="6" t="s">
        <v>78</v>
      </c>
      <c r="B87" s="7" t="s">
        <v>350</v>
      </c>
      <c r="C87" s="7"/>
    </row>
    <row r="88" spans="1:3" x14ac:dyDescent="0.2">
      <c r="A88" s="6" t="s">
        <v>79</v>
      </c>
      <c r="B88" s="7" t="s">
        <v>351</v>
      </c>
      <c r="C88" s="7"/>
    </row>
    <row r="89" spans="1:3" x14ac:dyDescent="0.2">
      <c r="A89" s="6" t="s">
        <v>80</v>
      </c>
      <c r="B89" s="7" t="s">
        <v>352</v>
      </c>
      <c r="C89" s="7"/>
    </row>
    <row r="90" spans="1:3" x14ac:dyDescent="0.2">
      <c r="A90" s="6" t="s">
        <v>81</v>
      </c>
      <c r="B90" s="7" t="s">
        <v>353</v>
      </c>
      <c r="C90" s="7"/>
    </row>
    <row r="91" spans="1:3" x14ac:dyDescent="0.2">
      <c r="A91" s="6" t="s">
        <v>82</v>
      </c>
      <c r="B91" s="7" t="s">
        <v>186</v>
      </c>
      <c r="C91" s="7"/>
    </row>
    <row r="92" spans="1:3" x14ac:dyDescent="0.2">
      <c r="A92" s="6" t="s">
        <v>83</v>
      </c>
      <c r="B92" s="7" t="s">
        <v>187</v>
      </c>
      <c r="C92" s="7"/>
    </row>
    <row r="93" spans="1:3" x14ac:dyDescent="0.2">
      <c r="A93" s="6" t="s">
        <v>88</v>
      </c>
      <c r="B93" s="7" t="s">
        <v>191</v>
      </c>
      <c r="C93" s="7"/>
    </row>
    <row r="94" spans="1:3" x14ac:dyDescent="0.2">
      <c r="A94" s="6" t="s">
        <v>95</v>
      </c>
      <c r="B94" s="7" t="s">
        <v>14</v>
      </c>
      <c r="C94" s="7"/>
    </row>
    <row r="95" spans="1:3" x14ac:dyDescent="0.2">
      <c r="A95" s="6" t="s">
        <v>96</v>
      </c>
      <c r="B95" s="7" t="s">
        <v>196</v>
      </c>
      <c r="C95" s="7"/>
    </row>
    <row r="96" spans="1:3" x14ac:dyDescent="0.2">
      <c r="A96" s="6" t="s">
        <v>98</v>
      </c>
      <c r="B96" s="7" t="s">
        <v>198</v>
      </c>
      <c r="C96" s="7"/>
    </row>
    <row r="97" spans="1:3" x14ac:dyDescent="0.2">
      <c r="A97" s="6" t="s">
        <v>142</v>
      </c>
      <c r="B97" s="7" t="s">
        <v>205</v>
      </c>
      <c r="C97" s="7"/>
    </row>
    <row r="98" spans="1:3" x14ac:dyDescent="0.2">
      <c r="A98" s="6" t="s">
        <v>102</v>
      </c>
      <c r="B98" s="7" t="s">
        <v>200</v>
      </c>
      <c r="C98" s="7"/>
    </row>
    <row r="99" spans="1:3" x14ac:dyDescent="0.2">
      <c r="A99" s="6" t="s">
        <v>103</v>
      </c>
      <c r="B99" s="7" t="s">
        <v>201</v>
      </c>
      <c r="C99" s="7"/>
    </row>
    <row r="100" spans="1:3" x14ac:dyDescent="0.2">
      <c r="A100" s="6" t="s">
        <v>104</v>
      </c>
      <c r="B100" s="7" t="s">
        <v>202</v>
      </c>
      <c r="C100" s="7"/>
    </row>
    <row r="101" spans="1:3" x14ac:dyDescent="0.2">
      <c r="A101" s="6" t="s">
        <v>143</v>
      </c>
      <c r="B101" s="7" t="s">
        <v>206</v>
      </c>
      <c r="C101" s="7"/>
    </row>
    <row r="102" spans="1:3" x14ac:dyDescent="0.2">
      <c r="A102" s="6" t="s">
        <v>144</v>
      </c>
      <c r="B102" s="7" t="s">
        <v>207</v>
      </c>
      <c r="C102" s="7"/>
    </row>
    <row r="103" spans="1:3" x14ac:dyDescent="0.2">
      <c r="A103" s="6" t="s">
        <v>145</v>
      </c>
      <c r="B103" s="7" t="s">
        <v>208</v>
      </c>
      <c r="C103" s="7"/>
    </row>
    <row r="104" spans="1:3" x14ac:dyDescent="0.2">
      <c r="A104" s="6" t="s">
        <v>146</v>
      </c>
      <c r="B104" s="7" t="s">
        <v>209</v>
      </c>
      <c r="C104" s="7"/>
    </row>
    <row r="105" spans="1:3" x14ac:dyDescent="0.2">
      <c r="A105" s="6" t="s">
        <v>147</v>
      </c>
      <c r="B105" s="7" t="s">
        <v>210</v>
      </c>
      <c r="C105" s="7"/>
    </row>
    <row r="106" spans="1:3" x14ac:dyDescent="0.2">
      <c r="A106" s="6" t="s">
        <v>148</v>
      </c>
      <c r="B106" s="7" t="s">
        <v>212</v>
      </c>
      <c r="C106" s="7"/>
    </row>
    <row r="107" spans="1:3" x14ac:dyDescent="0.2">
      <c r="A107" s="6" t="s">
        <v>149</v>
      </c>
      <c r="B107" s="7" t="s">
        <v>213</v>
      </c>
      <c r="C107" s="7"/>
    </row>
    <row r="108" spans="1:3" x14ac:dyDescent="0.2">
      <c r="A108" s="6" t="s">
        <v>150</v>
      </c>
      <c r="B108" s="7" t="s">
        <v>214</v>
      </c>
      <c r="C108" s="7"/>
    </row>
    <row r="109" spans="1:3" x14ac:dyDescent="0.2">
      <c r="A109" s="6" t="s">
        <v>151</v>
      </c>
      <c r="B109" s="7" t="s">
        <v>215</v>
      </c>
      <c r="C109" s="7"/>
    </row>
    <row r="110" spans="1:3" x14ac:dyDescent="0.2">
      <c r="A110" s="6" t="s">
        <v>152</v>
      </c>
      <c r="B110" s="7" t="s">
        <v>216</v>
      </c>
      <c r="C110" s="7"/>
    </row>
    <row r="111" spans="1:3" x14ac:dyDescent="0.2">
      <c r="A111" s="6" t="s">
        <v>153</v>
      </c>
      <c r="B111" s="7" t="s">
        <v>217</v>
      </c>
      <c r="C111" s="7"/>
    </row>
    <row r="112" spans="1:3" x14ac:dyDescent="0.2">
      <c r="A112" s="6" t="s">
        <v>154</v>
      </c>
      <c r="B112" s="7" t="s">
        <v>218</v>
      </c>
      <c r="C112" s="7"/>
    </row>
    <row r="113" spans="1:4" x14ac:dyDescent="0.2">
      <c r="A113" s="6" t="s">
        <v>1384</v>
      </c>
      <c r="B113" s="7" t="s">
        <v>320</v>
      </c>
      <c r="C113" s="7"/>
    </row>
    <row r="114" spans="1:4" x14ac:dyDescent="0.2">
      <c r="A114" s="6" t="s">
        <v>1385</v>
      </c>
      <c r="B114" s="7" t="s">
        <v>321</v>
      </c>
      <c r="C114" s="7"/>
    </row>
    <row r="115" spans="1:4" x14ac:dyDescent="0.2">
      <c r="A115" s="6" t="s">
        <v>157</v>
      </c>
      <c r="B115" s="7" t="s">
        <v>1413</v>
      </c>
      <c r="C115" s="7"/>
    </row>
    <row r="116" spans="1:4" x14ac:dyDescent="0.2">
      <c r="A116" s="6" t="s">
        <v>1386</v>
      </c>
      <c r="B116" s="7" t="s">
        <v>1408</v>
      </c>
      <c r="C116" s="7"/>
    </row>
    <row r="117" spans="1:4" x14ac:dyDescent="0.2">
      <c r="A117" s="6" t="s">
        <v>1387</v>
      </c>
      <c r="B117" s="7" t="s">
        <v>1407</v>
      </c>
      <c r="C117" s="7"/>
    </row>
    <row r="118" spans="1:4" x14ac:dyDescent="0.2">
      <c r="A118" s="6" t="s">
        <v>1388</v>
      </c>
      <c r="B118" s="7" t="s">
        <v>1409</v>
      </c>
      <c r="C118" s="7"/>
    </row>
    <row r="119" spans="1:4" x14ac:dyDescent="0.2">
      <c r="A119" s="6" t="s">
        <v>1389</v>
      </c>
      <c r="B119" s="7" t="s">
        <v>1410</v>
      </c>
      <c r="C119" s="7"/>
    </row>
    <row r="120" spans="1:4" x14ac:dyDescent="0.2">
      <c r="A120" s="6" t="s">
        <v>1390</v>
      </c>
      <c r="B120" s="7" t="s">
        <v>1411</v>
      </c>
      <c r="C120" s="7"/>
    </row>
    <row r="121" spans="1:4" x14ac:dyDescent="0.2">
      <c r="A121" s="6" t="s">
        <v>1391</v>
      </c>
      <c r="B121" s="7" t="s">
        <v>1412</v>
      </c>
      <c r="C121" s="7"/>
    </row>
    <row r="122" spans="1:4" x14ac:dyDescent="0.2">
      <c r="A122" s="6" t="s">
        <v>105</v>
      </c>
      <c r="B122" s="7" t="s">
        <v>203</v>
      </c>
      <c r="C122" s="7"/>
      <c r="D122" t="s">
        <v>1406</v>
      </c>
    </row>
    <row r="123" spans="1:4" x14ac:dyDescent="0.2">
      <c r="A123" s="6" t="s">
        <v>106</v>
      </c>
      <c r="B123" s="7" t="s">
        <v>203</v>
      </c>
      <c r="C123" s="7"/>
    </row>
    <row r="124" spans="1:4" x14ac:dyDescent="0.2">
      <c r="A124" s="6" t="s">
        <v>107</v>
      </c>
      <c r="B124" s="7" t="s">
        <v>203</v>
      </c>
      <c r="C124" s="7"/>
    </row>
    <row r="125" spans="1:4" x14ac:dyDescent="0.2">
      <c r="A125" s="6" t="s">
        <v>108</v>
      </c>
      <c r="B125" s="7" t="s">
        <v>203</v>
      </c>
      <c r="C125" s="7"/>
    </row>
    <row r="126" spans="1:4" x14ac:dyDescent="0.2">
      <c r="A126" s="6" t="s">
        <v>109</v>
      </c>
      <c r="B126" s="7" t="s">
        <v>203</v>
      </c>
      <c r="C126" s="7"/>
    </row>
    <row r="127" spans="1:4" x14ac:dyDescent="0.2">
      <c r="A127" s="6" t="s">
        <v>110</v>
      </c>
      <c r="B127" s="7" t="s">
        <v>203</v>
      </c>
      <c r="C127" s="7"/>
    </row>
    <row r="128" spans="1:4" x14ac:dyDescent="0.2">
      <c r="A128" s="6" t="s">
        <v>111</v>
      </c>
      <c r="B128" s="7" t="s">
        <v>203</v>
      </c>
      <c r="C128" s="7"/>
    </row>
    <row r="129" spans="1:3" x14ac:dyDescent="0.2">
      <c r="A129" s="6" t="s">
        <v>112</v>
      </c>
      <c r="B129" s="7" t="s">
        <v>203</v>
      </c>
      <c r="C129" s="7"/>
    </row>
    <row r="130" spans="1:3" x14ac:dyDescent="0.2">
      <c r="A130" s="6" t="s">
        <v>113</v>
      </c>
      <c r="B130" s="7" t="s">
        <v>203</v>
      </c>
      <c r="C130" s="7"/>
    </row>
    <row r="131" spans="1:3" x14ac:dyDescent="0.2">
      <c r="A131" s="6" t="s">
        <v>114</v>
      </c>
      <c r="B131" s="7" t="s">
        <v>203</v>
      </c>
      <c r="C131" s="7"/>
    </row>
    <row r="132" spans="1:3" x14ac:dyDescent="0.2">
      <c r="A132" s="6" t="s">
        <v>115</v>
      </c>
      <c r="B132" s="7" t="s">
        <v>203</v>
      </c>
      <c r="C132" s="7"/>
    </row>
    <row r="133" spans="1:3" x14ac:dyDescent="0.2">
      <c r="A133" s="6" t="s">
        <v>116</v>
      </c>
      <c r="B133" s="7" t="s">
        <v>203</v>
      </c>
      <c r="C133" s="7"/>
    </row>
    <row r="134" spans="1:3" x14ac:dyDescent="0.2">
      <c r="A134" s="6" t="s">
        <v>117</v>
      </c>
      <c r="B134" s="7" t="s">
        <v>203</v>
      </c>
      <c r="C134" s="7"/>
    </row>
    <row r="135" spans="1:3" x14ac:dyDescent="0.2">
      <c r="A135" s="6" t="s">
        <v>118</v>
      </c>
      <c r="B135" s="7" t="s">
        <v>203</v>
      </c>
      <c r="C135" s="7"/>
    </row>
    <row r="136" spans="1:3" x14ac:dyDescent="0.2">
      <c r="A136" s="6" t="s">
        <v>119</v>
      </c>
      <c r="B136" s="7" t="s">
        <v>203</v>
      </c>
      <c r="C136" s="7"/>
    </row>
    <row r="137" spans="1:3" x14ac:dyDescent="0.2">
      <c r="A137" s="6" t="s">
        <v>120</v>
      </c>
      <c r="B137" s="7" t="s">
        <v>203</v>
      </c>
      <c r="C137" s="7"/>
    </row>
    <row r="138" spans="1:3" x14ac:dyDescent="0.2">
      <c r="A138" s="6" t="s">
        <v>121</v>
      </c>
      <c r="B138" s="7" t="s">
        <v>203</v>
      </c>
      <c r="C138" s="7"/>
    </row>
    <row r="139" spans="1:3" x14ac:dyDescent="0.2">
      <c r="A139" s="6" t="s">
        <v>122</v>
      </c>
      <c r="B139" s="7" t="s">
        <v>203</v>
      </c>
      <c r="C139" s="7"/>
    </row>
    <row r="140" spans="1:3" x14ac:dyDescent="0.2">
      <c r="A140" s="6" t="s">
        <v>123</v>
      </c>
      <c r="B140" s="7" t="s">
        <v>203</v>
      </c>
      <c r="C140" s="7"/>
    </row>
    <row r="141" spans="1:3" x14ac:dyDescent="0.2">
      <c r="A141" s="6" t="s">
        <v>124</v>
      </c>
      <c r="B141" s="7" t="s">
        <v>203</v>
      </c>
      <c r="C141" s="7"/>
    </row>
    <row r="142" spans="1:3" x14ac:dyDescent="0.2">
      <c r="A142" s="6" t="s">
        <v>125</v>
      </c>
      <c r="B142" s="7" t="s">
        <v>203</v>
      </c>
      <c r="C142" s="7"/>
    </row>
    <row r="143" spans="1:3" x14ac:dyDescent="0.2">
      <c r="A143" s="6" t="s">
        <v>126</v>
      </c>
      <c r="B143" s="7" t="s">
        <v>203</v>
      </c>
      <c r="C143" s="7"/>
    </row>
    <row r="144" spans="1:3" x14ac:dyDescent="0.2">
      <c r="A144" s="6" t="s">
        <v>127</v>
      </c>
      <c r="B144" s="7" t="s">
        <v>203</v>
      </c>
      <c r="C144" s="7"/>
    </row>
    <row r="145" spans="1:3" x14ac:dyDescent="0.2">
      <c r="A145" s="6" t="s">
        <v>128</v>
      </c>
      <c r="B145" s="7" t="s">
        <v>203</v>
      </c>
      <c r="C145" s="7"/>
    </row>
    <row r="146" spans="1:3" x14ac:dyDescent="0.2">
      <c r="A146" s="6" t="s">
        <v>129</v>
      </c>
      <c r="B146" s="7" t="s">
        <v>203</v>
      </c>
      <c r="C146" s="7"/>
    </row>
    <row r="147" spans="1:3" x14ac:dyDescent="0.2">
      <c r="A147" s="6" t="s">
        <v>130</v>
      </c>
      <c r="B147" s="7" t="s">
        <v>203</v>
      </c>
      <c r="C147" s="7"/>
    </row>
    <row r="148" spans="1:3" x14ac:dyDescent="0.2">
      <c r="A148" s="6" t="s">
        <v>131</v>
      </c>
      <c r="B148" s="7" t="s">
        <v>203</v>
      </c>
      <c r="C148" s="7"/>
    </row>
    <row r="149" spans="1:3" x14ac:dyDescent="0.2">
      <c r="A149" s="6" t="s">
        <v>132</v>
      </c>
      <c r="B149" s="7" t="s">
        <v>203</v>
      </c>
      <c r="C149" s="7"/>
    </row>
    <row r="150" spans="1:3" x14ac:dyDescent="0.2">
      <c r="A150" s="6" t="s">
        <v>133</v>
      </c>
      <c r="B150" s="7" t="s">
        <v>203</v>
      </c>
      <c r="C150" s="7"/>
    </row>
    <row r="151" spans="1:3" x14ac:dyDescent="0.2">
      <c r="A151" s="6" t="s">
        <v>134</v>
      </c>
      <c r="B151" s="7" t="s">
        <v>203</v>
      </c>
      <c r="C151" s="7"/>
    </row>
    <row r="152" spans="1:3" x14ac:dyDescent="0.2">
      <c r="A152" s="6" t="s">
        <v>135</v>
      </c>
      <c r="B152" s="7" t="s">
        <v>203</v>
      </c>
      <c r="C152" s="7"/>
    </row>
    <row r="153" spans="1:3" x14ac:dyDescent="0.2">
      <c r="A153" s="6" t="s">
        <v>136</v>
      </c>
      <c r="B153" s="7" t="s">
        <v>203</v>
      </c>
      <c r="C153" s="7"/>
    </row>
    <row r="154" spans="1:3" x14ac:dyDescent="0.2">
      <c r="A154" s="6" t="s">
        <v>137</v>
      </c>
      <c r="B154" s="7" t="s">
        <v>203</v>
      </c>
      <c r="C154" s="7"/>
    </row>
    <row r="155" spans="1:3" x14ac:dyDescent="0.2">
      <c r="A155" s="6" t="s">
        <v>138</v>
      </c>
      <c r="B155" s="7" t="s">
        <v>203</v>
      </c>
      <c r="C155" s="7"/>
    </row>
    <row r="156" spans="1:3" x14ac:dyDescent="0.2">
      <c r="A156" s="6" t="s">
        <v>139</v>
      </c>
      <c r="B156" s="7" t="s">
        <v>203</v>
      </c>
      <c r="C156" s="7"/>
    </row>
    <row r="157" spans="1:3" x14ac:dyDescent="0.2">
      <c r="A157" s="6" t="s">
        <v>140</v>
      </c>
      <c r="B157" s="7" t="s">
        <v>203</v>
      </c>
      <c r="C157" s="7"/>
    </row>
    <row r="158" spans="1:3" x14ac:dyDescent="0.2">
      <c r="A158" s="6" t="s">
        <v>1414</v>
      </c>
      <c r="B158" s="7" t="s">
        <v>203</v>
      </c>
      <c r="C158" s="7"/>
    </row>
    <row r="159" spans="1:3" x14ac:dyDescent="0.2">
      <c r="A159" s="6" t="s">
        <v>1415</v>
      </c>
      <c r="B159" s="7" t="s">
        <v>203</v>
      </c>
      <c r="C159" s="7"/>
    </row>
    <row r="160" spans="1:3" x14ac:dyDescent="0.2">
      <c r="A160" s="6" t="s">
        <v>1416</v>
      </c>
      <c r="B160" s="7" t="s">
        <v>203</v>
      </c>
      <c r="C160" s="7"/>
    </row>
    <row r="161" spans="1:3" x14ac:dyDescent="0.2">
      <c r="A161" s="6" t="s">
        <v>1417</v>
      </c>
      <c r="B161" s="7" t="s">
        <v>203</v>
      </c>
      <c r="C161" s="7"/>
    </row>
    <row r="162" spans="1:3" x14ac:dyDescent="0.2">
      <c r="A162" s="6" t="s">
        <v>1418</v>
      </c>
      <c r="B162" s="7" t="s">
        <v>203</v>
      </c>
      <c r="C162" s="7"/>
    </row>
    <row r="163" spans="1:3" x14ac:dyDescent="0.2">
      <c r="A163" s="6" t="s">
        <v>1419</v>
      </c>
      <c r="B163" s="7" t="s">
        <v>203</v>
      </c>
      <c r="C163" s="7"/>
    </row>
    <row r="164" spans="1:3" x14ac:dyDescent="0.2">
      <c r="A164" s="6" t="s">
        <v>1420</v>
      </c>
      <c r="B164" s="7" t="s">
        <v>203</v>
      </c>
      <c r="C164" s="7"/>
    </row>
    <row r="165" spans="1:3" x14ac:dyDescent="0.2">
      <c r="A165" s="6" t="s">
        <v>1421</v>
      </c>
      <c r="B165" s="7" t="s">
        <v>203</v>
      </c>
      <c r="C165" s="7"/>
    </row>
    <row r="166" spans="1:3" x14ac:dyDescent="0.2">
      <c r="A166" s="6" t="s">
        <v>1422</v>
      </c>
      <c r="B166" s="7" t="s">
        <v>203</v>
      </c>
      <c r="C166" s="7"/>
    </row>
    <row r="167" spans="1:3" x14ac:dyDescent="0.2">
      <c r="A167" s="6" t="s">
        <v>1423</v>
      </c>
      <c r="B167" s="7" t="s">
        <v>203</v>
      </c>
      <c r="C167" s="7"/>
    </row>
    <row r="168" spans="1:3" x14ac:dyDescent="0.2">
      <c r="A168" s="6" t="s">
        <v>1424</v>
      </c>
      <c r="B168" s="7" t="s">
        <v>203</v>
      </c>
      <c r="C168" s="7"/>
    </row>
    <row r="169" spans="1:3" x14ac:dyDescent="0.2">
      <c r="A169" s="6" t="s">
        <v>1425</v>
      </c>
      <c r="B169" s="7" t="s">
        <v>203</v>
      </c>
      <c r="C169" s="7"/>
    </row>
    <row r="170" spans="1:3" x14ac:dyDescent="0.2">
      <c r="A170" s="6" t="s">
        <v>1426</v>
      </c>
      <c r="B170" s="7" t="s">
        <v>203</v>
      </c>
      <c r="C170" s="7"/>
    </row>
    <row r="171" spans="1:3" x14ac:dyDescent="0.2">
      <c r="A171" s="6" t="s">
        <v>1427</v>
      </c>
      <c r="B171" s="7" t="s">
        <v>203</v>
      </c>
      <c r="C171" s="7"/>
    </row>
    <row r="172" spans="1:3" x14ac:dyDescent="0.2">
      <c r="A172" s="6" t="s">
        <v>1428</v>
      </c>
      <c r="B172" s="7" t="s">
        <v>203</v>
      </c>
      <c r="C172" s="7"/>
    </row>
    <row r="173" spans="1:3" x14ac:dyDescent="0.2">
      <c r="A173" s="6" t="s">
        <v>141</v>
      </c>
      <c r="B173" s="7" t="s">
        <v>204</v>
      </c>
      <c r="C173"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8ED4-89E9-434C-BECA-8C3BDF7CABC6}">
  <sheetPr>
    <tabColor rgb="FF92D050"/>
  </sheetPr>
  <dimension ref="A1:E62"/>
  <sheetViews>
    <sheetView zoomScale="140" zoomScaleNormal="140" workbookViewId="0">
      <pane ySplit="4" topLeftCell="A5" activePane="bottomLeft" state="frozen"/>
      <selection activeCell="D13" sqref="D13"/>
      <selection pane="bottomLeft" activeCell="A5" sqref="A5"/>
    </sheetView>
  </sheetViews>
  <sheetFormatPr baseColWidth="10" defaultColWidth="8.83203125" defaultRowHeight="15" x14ac:dyDescent="0.2"/>
  <cols>
    <col min="1" max="1" width="30.33203125" bestFit="1" customWidth="1"/>
    <col min="2" max="2" width="79" customWidth="1"/>
    <col min="3" max="3" width="41.1640625" customWidth="1"/>
    <col min="4" max="4" width="17.5" bestFit="1" customWidth="1"/>
    <col min="5" max="5" width="8.83203125" style="2"/>
  </cols>
  <sheetData>
    <row r="1" spans="1:5" s="33" customFormat="1" x14ac:dyDescent="0.2">
      <c r="A1" s="33" t="s">
        <v>324</v>
      </c>
      <c r="B1" s="33" t="s">
        <v>347</v>
      </c>
      <c r="E1" s="53"/>
    </row>
    <row r="3" spans="1:5" ht="16" thickBot="1" x14ac:dyDescent="0.25"/>
    <row r="4" spans="1:5" ht="20" thickBot="1" x14ac:dyDescent="0.25">
      <c r="A4" s="8" t="s">
        <v>964</v>
      </c>
      <c r="B4" s="9" t="s">
        <v>965</v>
      </c>
      <c r="C4" s="10" t="s">
        <v>258</v>
      </c>
    </row>
    <row r="5" spans="1:5" x14ac:dyDescent="0.2">
      <c r="A5" s="11" t="s">
        <v>1576</v>
      </c>
      <c r="B5" s="12" t="s">
        <v>1620</v>
      </c>
      <c r="C5" s="12"/>
    </row>
    <row r="6" spans="1:5" x14ac:dyDescent="0.2">
      <c r="A6" s="6" t="s">
        <v>1577</v>
      </c>
      <c r="B6" s="7" t="s">
        <v>1621</v>
      </c>
      <c r="C6" s="7"/>
    </row>
    <row r="7" spans="1:5" x14ac:dyDescent="0.2">
      <c r="A7" s="6" t="s">
        <v>219</v>
      </c>
      <c r="B7" s="7" t="s">
        <v>244</v>
      </c>
      <c r="C7" s="7"/>
    </row>
    <row r="8" spans="1:5" x14ac:dyDescent="0.2">
      <c r="A8" s="6" t="s">
        <v>1578</v>
      </c>
      <c r="B8" s="7" t="s">
        <v>1819</v>
      </c>
      <c r="C8" s="7"/>
    </row>
    <row r="9" spans="1:5" x14ac:dyDescent="0.2">
      <c r="A9" s="6" t="s">
        <v>16</v>
      </c>
      <c r="B9" s="7" t="s">
        <v>1822</v>
      </c>
      <c r="C9" s="7"/>
    </row>
    <row r="10" spans="1:5" x14ac:dyDescent="0.2">
      <c r="A10" s="6" t="s">
        <v>17</v>
      </c>
      <c r="B10" s="7" t="s">
        <v>255</v>
      </c>
      <c r="C10" s="7"/>
    </row>
    <row r="11" spans="1:5" x14ac:dyDescent="0.2">
      <c r="A11" s="6" t="s">
        <v>18</v>
      </c>
      <c r="B11" s="7" t="s">
        <v>256</v>
      </c>
      <c r="C11" s="7"/>
    </row>
    <row r="12" spans="1:5" x14ac:dyDescent="0.2">
      <c r="A12" s="6" t="s">
        <v>19</v>
      </c>
      <c r="B12" s="7" t="s">
        <v>257</v>
      </c>
      <c r="C12" s="7"/>
    </row>
    <row r="13" spans="1:5" x14ac:dyDescent="0.2">
      <c r="A13" s="6" t="s">
        <v>1356</v>
      </c>
      <c r="B13" s="7" t="s">
        <v>1622</v>
      </c>
      <c r="C13" s="7"/>
    </row>
    <row r="14" spans="1:5" x14ac:dyDescent="0.2">
      <c r="A14" s="6" t="s">
        <v>1579</v>
      </c>
      <c r="B14" s="7" t="s">
        <v>1623</v>
      </c>
      <c r="C14" s="7"/>
    </row>
    <row r="15" spans="1:5" x14ac:dyDescent="0.2">
      <c r="A15" s="6" t="s">
        <v>1239</v>
      </c>
      <c r="B15" s="7" t="s">
        <v>1624</v>
      </c>
      <c r="C15" s="7"/>
    </row>
    <row r="16" spans="1:5" x14ac:dyDescent="0.2">
      <c r="A16" s="6" t="s">
        <v>1580</v>
      </c>
      <c r="B16" s="7" t="s">
        <v>1625</v>
      </c>
      <c r="C16" s="7"/>
    </row>
    <row r="17" spans="1:5" x14ac:dyDescent="0.2">
      <c r="A17" s="6" t="s">
        <v>46</v>
      </c>
      <c r="B17" s="7" t="s">
        <v>328</v>
      </c>
      <c r="C17" s="7"/>
    </row>
    <row r="18" spans="1:5" x14ac:dyDescent="0.2">
      <c r="A18" s="6" t="s">
        <v>1581</v>
      </c>
      <c r="B18" s="7" t="s">
        <v>1626</v>
      </c>
      <c r="C18" s="7"/>
    </row>
    <row r="19" spans="1:5" x14ac:dyDescent="0.2">
      <c r="A19" s="6" t="s">
        <v>1357</v>
      </c>
      <c r="B19" s="7" t="s">
        <v>259</v>
      </c>
      <c r="C19" s="7"/>
    </row>
    <row r="20" spans="1:5" ht="25" x14ac:dyDescent="0.2">
      <c r="A20" s="6" t="s">
        <v>1582</v>
      </c>
      <c r="B20" s="7" t="s">
        <v>1627</v>
      </c>
      <c r="C20" s="7"/>
    </row>
    <row r="21" spans="1:5" x14ac:dyDescent="0.2">
      <c r="A21" s="6" t="s">
        <v>1583</v>
      </c>
      <c r="B21" s="7" t="s">
        <v>1628</v>
      </c>
      <c r="C21" s="7"/>
    </row>
    <row r="22" spans="1:5" x14ac:dyDescent="0.2">
      <c r="A22" s="6" t="s">
        <v>1584</v>
      </c>
      <c r="B22" s="7" t="s">
        <v>1639</v>
      </c>
      <c r="C22" s="7"/>
    </row>
    <row r="23" spans="1:5" x14ac:dyDescent="0.2">
      <c r="A23" s="6" t="s">
        <v>1585</v>
      </c>
      <c r="B23" s="7" t="s">
        <v>1629</v>
      </c>
      <c r="C23" s="7"/>
    </row>
    <row r="24" spans="1:5" x14ac:dyDescent="0.2">
      <c r="A24" s="6" t="s">
        <v>1429</v>
      </c>
      <c r="B24" s="7" t="s">
        <v>1630</v>
      </c>
      <c r="C24" s="7"/>
    </row>
    <row r="25" spans="1:5" x14ac:dyDescent="0.2">
      <c r="A25" s="6" t="s">
        <v>1586</v>
      </c>
      <c r="B25" s="7" t="s">
        <v>1631</v>
      </c>
      <c r="C25" s="7"/>
    </row>
    <row r="26" spans="1:5" x14ac:dyDescent="0.2">
      <c r="A26" s="6" t="s">
        <v>73</v>
      </c>
      <c r="B26" s="7" t="s">
        <v>1632</v>
      </c>
      <c r="C26" s="7"/>
    </row>
    <row r="27" spans="1:5" x14ac:dyDescent="0.2">
      <c r="A27" s="6" t="s">
        <v>1587</v>
      </c>
      <c r="B27" s="7" t="s">
        <v>1633</v>
      </c>
      <c r="C27" s="7"/>
    </row>
    <row r="28" spans="1:5" x14ac:dyDescent="0.2">
      <c r="A28" s="6" t="s">
        <v>1588</v>
      </c>
      <c r="B28" s="7" t="s">
        <v>1634</v>
      </c>
      <c r="C28" s="7"/>
    </row>
    <row r="29" spans="1:5" s="36" customFormat="1" x14ac:dyDescent="0.2">
      <c r="A29" s="52" t="s">
        <v>1589</v>
      </c>
      <c r="B29" s="54" t="s">
        <v>1640</v>
      </c>
      <c r="C29" s="54"/>
      <c r="D29" s="36" t="s">
        <v>1664</v>
      </c>
      <c r="E29" s="35"/>
    </row>
    <row r="30" spans="1:5" x14ac:dyDescent="0.2">
      <c r="A30" s="6" t="s">
        <v>1590</v>
      </c>
      <c r="B30" s="7" t="s">
        <v>1635</v>
      </c>
      <c r="C30" s="7"/>
    </row>
    <row r="31" spans="1:5" x14ac:dyDescent="0.2">
      <c r="A31" s="6" t="s">
        <v>1591</v>
      </c>
      <c r="B31" s="7" t="s">
        <v>190</v>
      </c>
      <c r="C31" s="7"/>
    </row>
    <row r="32" spans="1:5" x14ac:dyDescent="0.2">
      <c r="A32" s="6" t="s">
        <v>97</v>
      </c>
      <c r="B32" s="7" t="s">
        <v>197</v>
      </c>
      <c r="C32" s="7"/>
    </row>
    <row r="33" spans="1:3" x14ac:dyDescent="0.2">
      <c r="A33" s="6" t="s">
        <v>1592</v>
      </c>
      <c r="B33" s="7" t="s">
        <v>1636</v>
      </c>
      <c r="C33" s="7"/>
    </row>
    <row r="34" spans="1:3" x14ac:dyDescent="0.2">
      <c r="A34" s="6" t="s">
        <v>1430</v>
      </c>
      <c r="B34" s="7" t="s">
        <v>326</v>
      </c>
      <c r="C34" s="7"/>
    </row>
    <row r="35" spans="1:3" ht="49" x14ac:dyDescent="0.2">
      <c r="A35" s="6" t="s">
        <v>1593</v>
      </c>
      <c r="B35" s="7" t="s">
        <v>359</v>
      </c>
      <c r="C35" s="7"/>
    </row>
    <row r="36" spans="1:3" x14ac:dyDescent="0.2">
      <c r="A36" s="6" t="s">
        <v>1594</v>
      </c>
      <c r="B36" s="7" t="s">
        <v>244</v>
      </c>
      <c r="C36" s="7"/>
    </row>
    <row r="37" spans="1:3" x14ac:dyDescent="0.2">
      <c r="A37" s="6" t="s">
        <v>1595</v>
      </c>
      <c r="B37" s="7" t="s">
        <v>1662</v>
      </c>
      <c r="C37" s="7"/>
    </row>
    <row r="38" spans="1:3" x14ac:dyDescent="0.2">
      <c r="A38" s="6" t="s">
        <v>1596</v>
      </c>
      <c r="B38" s="7" t="s">
        <v>1663</v>
      </c>
      <c r="C38" s="7"/>
    </row>
    <row r="39" spans="1:3" x14ac:dyDescent="0.2">
      <c r="A39" s="6" t="s">
        <v>1597</v>
      </c>
      <c r="B39" s="7" t="s">
        <v>1637</v>
      </c>
      <c r="C39" s="7"/>
    </row>
    <row r="40" spans="1:3" x14ac:dyDescent="0.2">
      <c r="A40" s="6" t="s">
        <v>1598</v>
      </c>
      <c r="B40" s="7" t="s">
        <v>1659</v>
      </c>
      <c r="C40" s="7"/>
    </row>
    <row r="41" spans="1:3" x14ac:dyDescent="0.2">
      <c r="A41" s="6" t="s">
        <v>84</v>
      </c>
      <c r="B41" s="7" t="s">
        <v>1656</v>
      </c>
      <c r="C41" s="7"/>
    </row>
    <row r="42" spans="1:3" x14ac:dyDescent="0.2">
      <c r="A42" s="6" t="s">
        <v>1599</v>
      </c>
      <c r="B42" s="7" t="s">
        <v>1657</v>
      </c>
      <c r="C42" s="7"/>
    </row>
    <row r="43" spans="1:3" x14ac:dyDescent="0.2">
      <c r="A43" s="6" t="s">
        <v>1600</v>
      </c>
      <c r="B43" s="7" t="s">
        <v>1660</v>
      </c>
      <c r="C43" s="7"/>
    </row>
    <row r="44" spans="1:3" ht="25" x14ac:dyDescent="0.2">
      <c r="A44" s="6" t="s">
        <v>1601</v>
      </c>
      <c r="B44" s="7" t="s">
        <v>1661</v>
      </c>
      <c r="C44" s="7" t="s">
        <v>1658</v>
      </c>
    </row>
    <row r="45" spans="1:3" x14ac:dyDescent="0.2">
      <c r="A45" s="6" t="s">
        <v>1602</v>
      </c>
      <c r="B45" s="7" t="s">
        <v>1011</v>
      </c>
      <c r="C45" s="7"/>
    </row>
    <row r="46" spans="1:3" ht="25" x14ac:dyDescent="0.2">
      <c r="A46" s="6" t="s">
        <v>1603</v>
      </c>
      <c r="B46" s="7" t="s">
        <v>1654</v>
      </c>
      <c r="C46" s="7"/>
    </row>
    <row r="47" spans="1:3" x14ac:dyDescent="0.2">
      <c r="A47" s="6" t="s">
        <v>1604</v>
      </c>
      <c r="B47" s="7" t="s">
        <v>1641</v>
      </c>
      <c r="C47" s="7"/>
    </row>
    <row r="48" spans="1:3" x14ac:dyDescent="0.2">
      <c r="A48" s="6" t="s">
        <v>1605</v>
      </c>
      <c r="B48" s="7" t="s">
        <v>1642</v>
      </c>
      <c r="C48" s="7"/>
    </row>
    <row r="49" spans="1:3" x14ac:dyDescent="0.2">
      <c r="A49" s="6" t="s">
        <v>1606</v>
      </c>
      <c r="B49" s="7" t="s">
        <v>1643</v>
      </c>
      <c r="C49" s="7"/>
    </row>
    <row r="50" spans="1:3" x14ac:dyDescent="0.2">
      <c r="A50" s="6" t="s">
        <v>1607</v>
      </c>
      <c r="B50" s="7" t="s">
        <v>1652</v>
      </c>
      <c r="C50" s="7"/>
    </row>
    <row r="51" spans="1:3" x14ac:dyDescent="0.2">
      <c r="A51" s="6" t="s">
        <v>1608</v>
      </c>
      <c r="B51" s="7" t="s">
        <v>1653</v>
      </c>
      <c r="C51" s="7"/>
    </row>
    <row r="52" spans="1:3" x14ac:dyDescent="0.2">
      <c r="A52" s="6" t="s">
        <v>1609</v>
      </c>
      <c r="B52" s="7" t="s">
        <v>1644</v>
      </c>
      <c r="C52" s="7"/>
    </row>
    <row r="53" spans="1:3" x14ac:dyDescent="0.2">
      <c r="A53" s="6" t="s">
        <v>1610</v>
      </c>
      <c r="B53" s="7" t="s">
        <v>1645</v>
      </c>
      <c r="C53" s="7"/>
    </row>
    <row r="54" spans="1:3" x14ac:dyDescent="0.2">
      <c r="A54" s="6" t="s">
        <v>1611</v>
      </c>
      <c r="B54" s="7" t="s">
        <v>1646</v>
      </c>
      <c r="C54" s="7"/>
    </row>
    <row r="55" spans="1:3" x14ac:dyDescent="0.2">
      <c r="A55" s="6" t="s">
        <v>1612</v>
      </c>
      <c r="B55" s="7" t="s">
        <v>1647</v>
      </c>
      <c r="C55" s="7"/>
    </row>
    <row r="56" spans="1:3" x14ac:dyDescent="0.2">
      <c r="A56" s="6" t="s">
        <v>1613</v>
      </c>
      <c r="B56" s="7" t="s">
        <v>1648</v>
      </c>
      <c r="C56" s="7"/>
    </row>
    <row r="57" spans="1:3" x14ac:dyDescent="0.2">
      <c r="A57" s="6" t="s">
        <v>1614</v>
      </c>
      <c r="B57" s="7" t="s">
        <v>1649</v>
      </c>
      <c r="C57" s="7"/>
    </row>
    <row r="58" spans="1:3" x14ac:dyDescent="0.2">
      <c r="A58" s="6" t="s">
        <v>1615</v>
      </c>
      <c r="B58" s="7" t="s">
        <v>1650</v>
      </c>
      <c r="C58" s="7"/>
    </row>
    <row r="59" spans="1:3" x14ac:dyDescent="0.2">
      <c r="A59" s="6" t="s">
        <v>1616</v>
      </c>
      <c r="B59" s="7" t="s">
        <v>1665</v>
      </c>
      <c r="C59" s="7"/>
    </row>
    <row r="60" spans="1:3" x14ac:dyDescent="0.2">
      <c r="A60" s="6" t="s">
        <v>1617</v>
      </c>
      <c r="B60" s="7" t="s">
        <v>1638</v>
      </c>
      <c r="C60" s="7"/>
    </row>
    <row r="61" spans="1:3" x14ac:dyDescent="0.2">
      <c r="A61" s="6" t="s">
        <v>1618</v>
      </c>
      <c r="B61" s="7" t="s">
        <v>1651</v>
      </c>
      <c r="C61" s="7" t="s">
        <v>1655</v>
      </c>
    </row>
    <row r="62" spans="1:3" x14ac:dyDescent="0.2">
      <c r="A62" s="6" t="s">
        <v>1619</v>
      </c>
      <c r="B62" s="7" t="s">
        <v>1666</v>
      </c>
      <c r="C62"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8CB7E-E51D-4951-A297-FE3104B118F1}">
  <sheetPr>
    <tabColor theme="5" tint="0.39997558519241921"/>
  </sheetPr>
  <dimension ref="A1:H12"/>
  <sheetViews>
    <sheetView zoomScale="120" zoomScaleNormal="120" workbookViewId="0">
      <pane ySplit="2" topLeftCell="A3" activePane="bottomLeft" state="frozen"/>
      <selection activeCell="B19" sqref="B19"/>
      <selection pane="bottomLeft" activeCell="A3" sqref="A3"/>
    </sheetView>
  </sheetViews>
  <sheetFormatPr baseColWidth="10" defaultColWidth="8.83203125" defaultRowHeight="15" x14ac:dyDescent="0.2"/>
  <cols>
    <col min="1" max="1" width="16" bestFit="1" customWidth="1"/>
    <col min="2" max="2" width="27" bestFit="1" customWidth="1"/>
    <col min="3" max="3" width="31.6640625" bestFit="1" customWidth="1"/>
    <col min="4" max="4" width="55.6640625" bestFit="1" customWidth="1"/>
    <col min="8" max="8" width="115.1640625" bestFit="1" customWidth="1"/>
  </cols>
  <sheetData>
    <row r="1" spans="1:8" ht="16" thickBot="1" x14ac:dyDescent="0.25"/>
    <row r="2" spans="1:8" ht="19" thickBot="1" x14ac:dyDescent="0.25">
      <c r="A2" s="14" t="s">
        <v>1782</v>
      </c>
      <c r="B2" s="15" t="s">
        <v>220</v>
      </c>
      <c r="C2" s="15" t="s">
        <v>1783</v>
      </c>
      <c r="G2" s="13"/>
      <c r="H2" s="13"/>
    </row>
    <row r="3" spans="1:8" x14ac:dyDescent="0.2">
      <c r="A3" s="51">
        <v>125</v>
      </c>
      <c r="B3" s="51" t="s">
        <v>1784</v>
      </c>
      <c r="C3" s="51" t="s">
        <v>1785</v>
      </c>
    </row>
    <row r="4" spans="1:8" x14ac:dyDescent="0.2">
      <c r="A4" s="51">
        <v>126</v>
      </c>
      <c r="B4" s="51" t="s">
        <v>1128</v>
      </c>
      <c r="C4" s="51" t="s">
        <v>1786</v>
      </c>
    </row>
    <row r="5" spans="1:8" x14ac:dyDescent="0.2">
      <c r="A5" s="51">
        <v>129</v>
      </c>
      <c r="B5" s="51" t="s">
        <v>1787</v>
      </c>
      <c r="C5" s="51" t="s">
        <v>1785</v>
      </c>
    </row>
    <row r="6" spans="1:8" x14ac:dyDescent="0.2">
      <c r="A6" s="51">
        <v>135</v>
      </c>
      <c r="B6" s="51" t="s">
        <v>1788</v>
      </c>
      <c r="C6" s="51" t="s">
        <v>1785</v>
      </c>
    </row>
    <row r="7" spans="1:8" x14ac:dyDescent="0.2">
      <c r="A7" s="51">
        <v>137</v>
      </c>
      <c r="B7" s="51" t="s">
        <v>1789</v>
      </c>
      <c r="C7" s="51" t="s">
        <v>1785</v>
      </c>
      <c r="D7" s="53"/>
      <c r="E7" s="53"/>
      <c r="F7" s="53"/>
    </row>
    <row r="8" spans="1:8" x14ac:dyDescent="0.2">
      <c r="A8" s="51">
        <v>131</v>
      </c>
      <c r="B8" s="51" t="s">
        <v>1790</v>
      </c>
      <c r="C8" s="51" t="s">
        <v>1791</v>
      </c>
      <c r="D8" s="2"/>
      <c r="E8" s="2"/>
      <c r="F8" s="2"/>
    </row>
    <row r="9" spans="1:8" x14ac:dyDescent="0.2">
      <c r="A9" s="51">
        <v>134</v>
      </c>
      <c r="B9" s="51" t="s">
        <v>1792</v>
      </c>
      <c r="C9" s="51" t="s">
        <v>1793</v>
      </c>
      <c r="D9" s="2"/>
      <c r="E9" s="2"/>
      <c r="F9" s="2"/>
    </row>
    <row r="10" spans="1:8" x14ac:dyDescent="0.2">
      <c r="A10" s="51">
        <v>140</v>
      </c>
      <c r="B10" s="51" t="s">
        <v>1794</v>
      </c>
      <c r="C10" s="51" t="s">
        <v>1791</v>
      </c>
      <c r="D10" s="2"/>
      <c r="E10" s="2"/>
      <c r="F10" s="2"/>
    </row>
    <row r="11" spans="1:8" x14ac:dyDescent="0.2">
      <c r="A11" s="51">
        <v>141</v>
      </c>
      <c r="B11" s="51" t="s">
        <v>1795</v>
      </c>
      <c r="C11" s="51" t="s">
        <v>1791</v>
      </c>
      <c r="D11" s="2"/>
      <c r="E11" s="2"/>
      <c r="F11" s="2"/>
    </row>
    <row r="12" spans="1:8" x14ac:dyDescent="0.2">
      <c r="A12" s="51">
        <v>144</v>
      </c>
      <c r="B12" s="51" t="s">
        <v>1796</v>
      </c>
      <c r="C12" s="51" t="s">
        <v>1797</v>
      </c>
      <c r="D12" s="2"/>
      <c r="E12" s="2"/>
      <c r="F12"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17DE-AD54-4387-BDD2-E4EC91252843}">
  <sheetPr codeName="Sheet11">
    <tabColor theme="5" tint="0.39997558519241921"/>
  </sheetPr>
  <dimension ref="A1:H75"/>
  <sheetViews>
    <sheetView zoomScale="120" zoomScaleNormal="120" workbookViewId="0">
      <pane ySplit="2" topLeftCell="A3" activePane="bottomLeft" state="frozen"/>
      <selection activeCell="B19" sqref="B19"/>
      <selection pane="bottomLeft" activeCell="A3" sqref="A3"/>
    </sheetView>
  </sheetViews>
  <sheetFormatPr baseColWidth="10" defaultColWidth="8.83203125" defaultRowHeight="15" x14ac:dyDescent="0.2"/>
  <cols>
    <col min="1" max="1" width="22.5" bestFit="1" customWidth="1"/>
    <col min="2" max="2" width="27" bestFit="1" customWidth="1"/>
    <col min="3" max="3" width="22.6640625" bestFit="1" customWidth="1"/>
    <col min="4" max="4" width="55.6640625" bestFit="1" customWidth="1"/>
    <col min="8" max="8" width="115.1640625" bestFit="1" customWidth="1"/>
  </cols>
  <sheetData>
    <row r="1" spans="1:8" ht="16" thickBot="1" x14ac:dyDescent="0.25"/>
    <row r="2" spans="1:8" ht="19" thickBot="1" x14ac:dyDescent="0.25">
      <c r="A2" s="14" t="s">
        <v>164</v>
      </c>
      <c r="B2" s="15" t="s">
        <v>220</v>
      </c>
      <c r="C2" s="16"/>
      <c r="G2" s="13"/>
      <c r="H2" s="13"/>
    </row>
    <row r="3" spans="1:8" x14ac:dyDescent="0.2">
      <c r="A3" s="51" t="s">
        <v>389</v>
      </c>
      <c r="B3" s="51" t="s">
        <v>390</v>
      </c>
      <c r="C3" s="51" t="s">
        <v>391</v>
      </c>
    </row>
    <row r="4" spans="1:8" x14ac:dyDescent="0.2">
      <c r="A4" s="51" t="s">
        <v>392</v>
      </c>
      <c r="B4" s="51" t="s">
        <v>393</v>
      </c>
      <c r="C4" s="51" t="s">
        <v>394</v>
      </c>
    </row>
    <row r="5" spans="1:8" x14ac:dyDescent="0.2">
      <c r="A5" s="51" t="s">
        <v>395</v>
      </c>
      <c r="B5" s="51" t="s">
        <v>396</v>
      </c>
      <c r="C5" s="51" t="s">
        <v>1355</v>
      </c>
    </row>
    <row r="6" spans="1:8" x14ac:dyDescent="0.2">
      <c r="A6" s="51" t="s">
        <v>1393</v>
      </c>
      <c r="B6" s="51" t="s">
        <v>1483</v>
      </c>
      <c r="C6" s="51" t="s">
        <v>1575</v>
      </c>
    </row>
    <row r="8" spans="1:8" x14ac:dyDescent="0.2">
      <c r="A8" s="51" t="s">
        <v>1431</v>
      </c>
      <c r="B8" s="51" t="s">
        <v>1432</v>
      </c>
      <c r="C8" s="51"/>
    </row>
    <row r="9" spans="1:8" x14ac:dyDescent="0.2">
      <c r="A9" s="51" t="s">
        <v>1433</v>
      </c>
      <c r="B9" s="51" t="s">
        <v>1434</v>
      </c>
      <c r="C9" s="51" t="s">
        <v>1435</v>
      </c>
    </row>
    <row r="10" spans="1:8" x14ac:dyDescent="0.2">
      <c r="A10" s="51" t="s">
        <v>1436</v>
      </c>
      <c r="B10" s="51" t="s">
        <v>1437</v>
      </c>
      <c r="C10" s="51" t="s">
        <v>1438</v>
      </c>
    </row>
    <row r="11" spans="1:8" x14ac:dyDescent="0.2">
      <c r="A11" s="51" t="s">
        <v>1439</v>
      </c>
      <c r="B11" s="51" t="s">
        <v>1440</v>
      </c>
      <c r="C11" s="51" t="s">
        <v>1441</v>
      </c>
    </row>
    <row r="12" spans="1:8" x14ac:dyDescent="0.2">
      <c r="A12" s="51" t="s">
        <v>1442</v>
      </c>
      <c r="B12" s="51" t="s">
        <v>1443</v>
      </c>
      <c r="C12" s="51" t="s">
        <v>1444</v>
      </c>
    </row>
    <row r="13" spans="1:8" x14ac:dyDescent="0.2">
      <c r="A13" s="51" t="s">
        <v>1445</v>
      </c>
      <c r="B13" s="51" t="s">
        <v>1446</v>
      </c>
      <c r="C13" s="51" t="s">
        <v>1435</v>
      </c>
    </row>
    <row r="14" spans="1:8" x14ac:dyDescent="0.2">
      <c r="A14" s="51" t="s">
        <v>1447</v>
      </c>
      <c r="B14" s="51" t="s">
        <v>1448</v>
      </c>
      <c r="C14" s="51" t="s">
        <v>1438</v>
      </c>
    </row>
    <row r="15" spans="1:8" x14ac:dyDescent="0.2">
      <c r="A15" s="51" t="s">
        <v>1449</v>
      </c>
      <c r="B15" s="51" t="s">
        <v>1450</v>
      </c>
      <c r="C15" s="51" t="s">
        <v>1441</v>
      </c>
    </row>
    <row r="16" spans="1:8" x14ac:dyDescent="0.2">
      <c r="A16" s="51" t="s">
        <v>1451</v>
      </c>
      <c r="B16" s="51" t="s">
        <v>1452</v>
      </c>
      <c r="C16" s="51" t="s">
        <v>1444</v>
      </c>
    </row>
    <row r="17" spans="1:3" x14ac:dyDescent="0.2">
      <c r="A17" s="51" t="s">
        <v>1453</v>
      </c>
      <c r="B17" s="51" t="s">
        <v>1454</v>
      </c>
      <c r="C17" s="51"/>
    </row>
    <row r="18" spans="1:3" x14ac:dyDescent="0.2">
      <c r="A18" s="51" t="s">
        <v>1455</v>
      </c>
      <c r="B18" s="51" t="s">
        <v>1456</v>
      </c>
      <c r="C18" s="51" t="s">
        <v>1438</v>
      </c>
    </row>
    <row r="19" spans="1:3" x14ac:dyDescent="0.2">
      <c r="A19" s="51" t="s">
        <v>1457</v>
      </c>
      <c r="B19" s="51" t="s">
        <v>1458</v>
      </c>
      <c r="C19" s="51" t="s">
        <v>1459</v>
      </c>
    </row>
    <row r="20" spans="1:3" x14ac:dyDescent="0.2">
      <c r="A20" s="51" t="s">
        <v>1460</v>
      </c>
      <c r="B20" s="51" t="s">
        <v>1461</v>
      </c>
      <c r="C20" s="51" t="s">
        <v>1444</v>
      </c>
    </row>
    <row r="21" spans="1:3" x14ac:dyDescent="0.2">
      <c r="A21" s="51" t="s">
        <v>1462</v>
      </c>
      <c r="B21" s="51" t="s">
        <v>1463</v>
      </c>
      <c r="C21" s="51" t="s">
        <v>1435</v>
      </c>
    </row>
    <row r="22" spans="1:3" x14ac:dyDescent="0.2">
      <c r="A22" s="51" t="s">
        <v>1464</v>
      </c>
      <c r="B22" s="51" t="s">
        <v>1465</v>
      </c>
      <c r="C22" s="51" t="s">
        <v>1438</v>
      </c>
    </row>
    <row r="23" spans="1:3" x14ac:dyDescent="0.2">
      <c r="A23" s="51" t="s">
        <v>1466</v>
      </c>
      <c r="B23" s="51" t="s">
        <v>1467</v>
      </c>
      <c r="C23" s="51" t="s">
        <v>1441</v>
      </c>
    </row>
    <row r="24" spans="1:3" x14ac:dyDescent="0.2">
      <c r="A24" s="51" t="s">
        <v>1468</v>
      </c>
      <c r="B24" s="51" t="s">
        <v>1469</v>
      </c>
      <c r="C24" s="51" t="s">
        <v>1444</v>
      </c>
    </row>
    <row r="25" spans="1:3" x14ac:dyDescent="0.2">
      <c r="A25" s="51" t="s">
        <v>1470</v>
      </c>
      <c r="B25" s="51" t="s">
        <v>1471</v>
      </c>
      <c r="C25" s="51" t="s">
        <v>1435</v>
      </c>
    </row>
    <row r="26" spans="1:3" x14ac:dyDescent="0.2">
      <c r="A26" s="51" t="s">
        <v>1395</v>
      </c>
      <c r="B26" s="51" t="s">
        <v>1472</v>
      </c>
      <c r="C26" s="51"/>
    </row>
    <row r="27" spans="1:3" x14ac:dyDescent="0.2">
      <c r="A27" s="51" t="s">
        <v>1394</v>
      </c>
      <c r="B27" s="51" t="s">
        <v>1473</v>
      </c>
      <c r="C27" s="51"/>
    </row>
    <row r="28" spans="1:3" x14ac:dyDescent="0.2">
      <c r="A28" s="51" t="s">
        <v>1474</v>
      </c>
      <c r="B28" s="51" t="s">
        <v>1475</v>
      </c>
      <c r="C28" s="51"/>
    </row>
    <row r="29" spans="1:3" x14ac:dyDescent="0.2">
      <c r="A29" s="51" t="s">
        <v>1476</v>
      </c>
      <c r="B29" s="51" t="s">
        <v>1477</v>
      </c>
      <c r="C29" s="51"/>
    </row>
    <row r="30" spans="1:3" x14ac:dyDescent="0.2">
      <c r="A30" s="51" t="s">
        <v>1478</v>
      </c>
      <c r="B30" s="51" t="s">
        <v>1479</v>
      </c>
      <c r="C30" s="51"/>
    </row>
    <row r="31" spans="1:3" x14ac:dyDescent="0.2">
      <c r="A31" s="51" t="s">
        <v>1480</v>
      </c>
      <c r="B31" s="51" t="s">
        <v>1481</v>
      </c>
      <c r="C31" s="51" t="s">
        <v>1482</v>
      </c>
    </row>
    <row r="32" spans="1:3" x14ac:dyDescent="0.2">
      <c r="A32" s="51" t="s">
        <v>1484</v>
      </c>
      <c r="B32" s="51" t="s">
        <v>1485</v>
      </c>
      <c r="C32" s="51" t="s">
        <v>1486</v>
      </c>
    </row>
    <row r="33" spans="1:3" x14ac:dyDescent="0.2">
      <c r="A33" s="51" t="s">
        <v>1487</v>
      </c>
      <c r="B33" s="51" t="s">
        <v>1488</v>
      </c>
      <c r="C33" s="51"/>
    </row>
    <row r="34" spans="1:3" x14ac:dyDescent="0.2">
      <c r="A34" s="51" t="s">
        <v>1489</v>
      </c>
      <c r="B34" s="51" t="s">
        <v>1490</v>
      </c>
      <c r="C34" s="51"/>
    </row>
    <row r="35" spans="1:3" x14ac:dyDescent="0.2">
      <c r="A35" s="51" t="s">
        <v>1491</v>
      </c>
      <c r="B35" s="51" t="s">
        <v>1492</v>
      </c>
      <c r="C35" s="51"/>
    </row>
    <row r="36" spans="1:3" x14ac:dyDescent="0.2">
      <c r="A36" s="51" t="s">
        <v>1493</v>
      </c>
      <c r="B36" s="51" t="s">
        <v>1494</v>
      </c>
      <c r="C36" s="51"/>
    </row>
    <row r="37" spans="1:3" x14ac:dyDescent="0.2">
      <c r="A37" s="51" t="s">
        <v>1495</v>
      </c>
      <c r="B37" s="51" t="s">
        <v>1496</v>
      </c>
      <c r="C37" s="51"/>
    </row>
    <row r="38" spans="1:3" x14ac:dyDescent="0.2">
      <c r="A38" s="51" t="s">
        <v>1497</v>
      </c>
      <c r="B38" s="51" t="s">
        <v>1498</v>
      </c>
      <c r="C38" s="51"/>
    </row>
    <row r="39" spans="1:3" x14ac:dyDescent="0.2">
      <c r="A39" s="51" t="s">
        <v>1499</v>
      </c>
      <c r="B39" s="51" t="s">
        <v>1500</v>
      </c>
      <c r="C39" s="51"/>
    </row>
    <row r="40" spans="1:3" x14ac:dyDescent="0.2">
      <c r="A40" s="51" t="s">
        <v>1501</v>
      </c>
      <c r="B40" s="51" t="s">
        <v>1502</v>
      </c>
      <c r="C40" s="51"/>
    </row>
    <row r="41" spans="1:3" x14ac:dyDescent="0.2">
      <c r="A41" s="51" t="s">
        <v>1503</v>
      </c>
      <c r="B41" s="51" t="s">
        <v>1504</v>
      </c>
      <c r="C41" s="51" t="s">
        <v>1505</v>
      </c>
    </row>
    <row r="42" spans="1:3" x14ac:dyDescent="0.2">
      <c r="A42" s="51" t="s">
        <v>1506</v>
      </c>
      <c r="B42" s="51" t="s">
        <v>1507</v>
      </c>
      <c r="C42" s="51" t="s">
        <v>1508</v>
      </c>
    </row>
    <row r="43" spans="1:3" x14ac:dyDescent="0.2">
      <c r="A43" s="51" t="s">
        <v>1509</v>
      </c>
      <c r="B43" s="51" t="s">
        <v>1510</v>
      </c>
      <c r="C43" s="51" t="s">
        <v>1511</v>
      </c>
    </row>
    <row r="44" spans="1:3" x14ac:dyDescent="0.2">
      <c r="A44" s="51" t="s">
        <v>1512</v>
      </c>
      <c r="B44" s="51" t="s">
        <v>1513</v>
      </c>
      <c r="C44" s="51" t="s">
        <v>1514</v>
      </c>
    </row>
    <row r="45" spans="1:3" x14ac:dyDescent="0.2">
      <c r="A45" s="51" t="s">
        <v>1515</v>
      </c>
      <c r="B45" s="51" t="s">
        <v>1516</v>
      </c>
      <c r="C45" s="51" t="s">
        <v>1505</v>
      </c>
    </row>
    <row r="46" spans="1:3" x14ac:dyDescent="0.2">
      <c r="A46" s="51" t="s">
        <v>1517</v>
      </c>
      <c r="B46" s="51" t="s">
        <v>1518</v>
      </c>
      <c r="C46" s="51" t="s">
        <v>1508</v>
      </c>
    </row>
    <row r="47" spans="1:3" x14ac:dyDescent="0.2">
      <c r="A47" s="51" t="s">
        <v>1519</v>
      </c>
      <c r="B47" s="51" t="s">
        <v>1520</v>
      </c>
      <c r="C47" s="51" t="s">
        <v>1511</v>
      </c>
    </row>
    <row r="48" spans="1:3" x14ac:dyDescent="0.2">
      <c r="A48" s="51" t="s">
        <v>1521</v>
      </c>
      <c r="B48" s="51" t="s">
        <v>1522</v>
      </c>
      <c r="C48" s="51" t="s">
        <v>1514</v>
      </c>
    </row>
    <row r="49" spans="1:3" x14ac:dyDescent="0.2">
      <c r="A49" s="51" t="s">
        <v>1523</v>
      </c>
      <c r="B49" s="51" t="s">
        <v>1524</v>
      </c>
      <c r="C49" s="51"/>
    </row>
    <row r="50" spans="1:3" x14ac:dyDescent="0.2">
      <c r="A50" s="51" t="s">
        <v>1525</v>
      </c>
      <c r="B50" s="51" t="s">
        <v>1526</v>
      </c>
      <c r="C50" s="51" t="s">
        <v>1505</v>
      </c>
    </row>
    <row r="51" spans="1:3" x14ac:dyDescent="0.2">
      <c r="A51" s="51" t="s">
        <v>1527</v>
      </c>
      <c r="B51" s="51" t="s">
        <v>1528</v>
      </c>
      <c r="C51" s="51" t="s">
        <v>1508</v>
      </c>
    </row>
    <row r="52" spans="1:3" x14ac:dyDescent="0.2">
      <c r="A52" s="51" t="s">
        <v>1529</v>
      </c>
      <c r="B52" s="51" t="s">
        <v>1530</v>
      </c>
      <c r="C52" s="51" t="s">
        <v>1511</v>
      </c>
    </row>
    <row r="53" spans="1:3" x14ac:dyDescent="0.2">
      <c r="A53" s="51" t="s">
        <v>1531</v>
      </c>
      <c r="B53" s="51" t="s">
        <v>1532</v>
      </c>
      <c r="C53" s="51" t="s">
        <v>1514</v>
      </c>
    </row>
    <row r="54" spans="1:3" x14ac:dyDescent="0.2">
      <c r="A54" s="51" t="s">
        <v>1533</v>
      </c>
      <c r="B54" s="51" t="s">
        <v>1534</v>
      </c>
      <c r="C54" s="51" t="s">
        <v>1505</v>
      </c>
    </row>
    <row r="55" spans="1:3" x14ac:dyDescent="0.2">
      <c r="A55" s="51" t="s">
        <v>1535</v>
      </c>
      <c r="B55" s="51" t="s">
        <v>1536</v>
      </c>
      <c r="C55" s="51" t="s">
        <v>1508</v>
      </c>
    </row>
    <row r="56" spans="1:3" x14ac:dyDescent="0.2">
      <c r="A56" s="51" t="s">
        <v>1537</v>
      </c>
      <c r="B56" s="51" t="s">
        <v>1538</v>
      </c>
      <c r="C56" s="51" t="s">
        <v>1511</v>
      </c>
    </row>
    <row r="57" spans="1:3" x14ac:dyDescent="0.2">
      <c r="A57" s="51" t="s">
        <v>1539</v>
      </c>
      <c r="B57" s="51" t="s">
        <v>1540</v>
      </c>
      <c r="C57" s="51" t="s">
        <v>1514</v>
      </c>
    </row>
    <row r="58" spans="1:3" x14ac:dyDescent="0.2">
      <c r="A58" s="51" t="s">
        <v>1541</v>
      </c>
      <c r="B58" s="51" t="s">
        <v>1542</v>
      </c>
      <c r="C58" s="51"/>
    </row>
    <row r="59" spans="1:3" x14ac:dyDescent="0.2">
      <c r="A59" s="51" t="s">
        <v>1543</v>
      </c>
      <c r="B59" s="51" t="s">
        <v>1544</v>
      </c>
      <c r="C59" s="51"/>
    </row>
    <row r="60" spans="1:3" x14ac:dyDescent="0.2">
      <c r="A60" s="51" t="s">
        <v>1545</v>
      </c>
      <c r="B60" s="51" t="s">
        <v>1546</v>
      </c>
      <c r="C60" s="51"/>
    </row>
    <row r="61" spans="1:3" x14ac:dyDescent="0.2">
      <c r="A61" s="51" t="s">
        <v>1392</v>
      </c>
      <c r="B61" s="51" t="s">
        <v>1547</v>
      </c>
      <c r="C61" s="51"/>
    </row>
    <row r="62" spans="1:3" x14ac:dyDescent="0.2">
      <c r="A62" s="51" t="s">
        <v>1548</v>
      </c>
      <c r="B62" s="51" t="s">
        <v>1549</v>
      </c>
      <c r="C62" s="51"/>
    </row>
    <row r="63" spans="1:3" x14ac:dyDescent="0.2">
      <c r="A63" s="51" t="s">
        <v>1550</v>
      </c>
      <c r="B63" s="51" t="s">
        <v>1551</v>
      </c>
      <c r="C63" s="51"/>
    </row>
    <row r="64" spans="1:3" x14ac:dyDescent="0.2">
      <c r="A64" s="51" t="s">
        <v>1552</v>
      </c>
      <c r="B64" s="51" t="s">
        <v>1553</v>
      </c>
      <c r="C64" s="51"/>
    </row>
    <row r="65" spans="1:3" x14ac:dyDescent="0.2">
      <c r="A65" s="51" t="s">
        <v>1554</v>
      </c>
      <c r="B65" s="51" t="s">
        <v>1555</v>
      </c>
      <c r="C65" s="51" t="s">
        <v>1556</v>
      </c>
    </row>
    <row r="66" spans="1:3" x14ac:dyDescent="0.2">
      <c r="A66" s="51" t="s">
        <v>1398</v>
      </c>
      <c r="B66" s="51" t="s">
        <v>1557</v>
      </c>
      <c r="C66" s="51" t="s">
        <v>1558</v>
      </c>
    </row>
    <row r="67" spans="1:3" x14ac:dyDescent="0.2">
      <c r="A67" s="51" t="s">
        <v>1559</v>
      </c>
      <c r="B67" s="51" t="s">
        <v>1560</v>
      </c>
      <c r="C67" s="51"/>
    </row>
    <row r="68" spans="1:3" x14ac:dyDescent="0.2">
      <c r="A68" s="51" t="s">
        <v>1396</v>
      </c>
      <c r="B68" s="51" t="s">
        <v>1561</v>
      </c>
      <c r="C68" s="51"/>
    </row>
    <row r="69" spans="1:3" x14ac:dyDescent="0.2">
      <c r="A69" s="51" t="s">
        <v>1562</v>
      </c>
      <c r="B69" s="51" t="s">
        <v>1563</v>
      </c>
      <c r="C69" s="51"/>
    </row>
    <row r="70" spans="1:3" x14ac:dyDescent="0.2">
      <c r="A70" s="51" t="s">
        <v>1564</v>
      </c>
      <c r="B70" s="51" t="s">
        <v>1565</v>
      </c>
      <c r="C70" s="51"/>
    </row>
    <row r="71" spans="1:3" x14ac:dyDescent="0.2">
      <c r="A71" s="51" t="s">
        <v>1566</v>
      </c>
      <c r="B71" s="51" t="s">
        <v>1567</v>
      </c>
      <c r="C71" s="51"/>
    </row>
    <row r="72" spans="1:3" x14ac:dyDescent="0.2">
      <c r="A72" s="51" t="s">
        <v>1568</v>
      </c>
      <c r="B72" s="51" t="s">
        <v>1569</v>
      </c>
      <c r="C72" s="51"/>
    </row>
    <row r="73" spans="1:3" x14ac:dyDescent="0.2">
      <c r="A73" s="51" t="s">
        <v>1570</v>
      </c>
      <c r="B73" s="51" t="s">
        <v>1571</v>
      </c>
      <c r="C73" s="51"/>
    </row>
    <row r="74" spans="1:3" x14ac:dyDescent="0.2">
      <c r="A74" s="51" t="s">
        <v>1572</v>
      </c>
      <c r="B74" s="51" t="s">
        <v>1573</v>
      </c>
      <c r="C74" s="51"/>
    </row>
    <row r="75" spans="1:3" x14ac:dyDescent="0.2">
      <c r="A75" s="51" t="s">
        <v>1397</v>
      </c>
      <c r="B75" s="51" t="s">
        <v>1574</v>
      </c>
      <c r="C75" s="5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0F5FC-E0C7-4529-A843-043EAD44C8E0}">
  <sheetPr codeName="Sheet12">
    <tabColor theme="5" tint="0.39997558519241921"/>
  </sheetPr>
  <dimension ref="A1:C485"/>
  <sheetViews>
    <sheetView zoomScale="140" zoomScaleNormal="140" workbookViewId="0">
      <pane ySplit="1" topLeftCell="A161" activePane="bottomLeft" state="frozen"/>
      <selection activeCell="B19" sqref="B19"/>
      <selection pane="bottomLeft" activeCell="A2" sqref="A2"/>
    </sheetView>
  </sheetViews>
  <sheetFormatPr baseColWidth="10" defaultColWidth="8.83203125" defaultRowHeight="15" x14ac:dyDescent="0.2"/>
  <cols>
    <col min="1" max="1" width="15.5" bestFit="1" customWidth="1"/>
    <col min="2" max="2" width="19" bestFit="1" customWidth="1"/>
  </cols>
  <sheetData>
    <row r="1" spans="1:3" ht="19" thickBot="1" x14ac:dyDescent="0.25">
      <c r="A1" s="17" t="s">
        <v>477</v>
      </c>
      <c r="B1" s="28" t="s">
        <v>220</v>
      </c>
    </row>
    <row r="2" spans="1:3" x14ac:dyDescent="0.2">
      <c r="A2" s="25">
        <v>100</v>
      </c>
      <c r="B2" s="21" t="s">
        <v>478</v>
      </c>
      <c r="C2" t="s">
        <v>479</v>
      </c>
    </row>
    <row r="3" spans="1:3" x14ac:dyDescent="0.2">
      <c r="A3" s="25">
        <v>101</v>
      </c>
      <c r="B3" s="21" t="s">
        <v>480</v>
      </c>
      <c r="C3" t="s">
        <v>479</v>
      </c>
    </row>
    <row r="4" spans="1:3" x14ac:dyDescent="0.2">
      <c r="A4" s="25">
        <v>102</v>
      </c>
      <c r="B4" s="21" t="s">
        <v>481</v>
      </c>
      <c r="C4" t="s">
        <v>479</v>
      </c>
    </row>
    <row r="5" spans="1:3" x14ac:dyDescent="0.2">
      <c r="A5" s="25">
        <v>103</v>
      </c>
      <c r="B5" s="21" t="s">
        <v>482</v>
      </c>
      <c r="C5" t="s">
        <v>479</v>
      </c>
    </row>
    <row r="6" spans="1:3" x14ac:dyDescent="0.2">
      <c r="A6" s="25">
        <v>104</v>
      </c>
      <c r="B6" s="21" t="s">
        <v>483</v>
      </c>
      <c r="C6" t="s">
        <v>479</v>
      </c>
    </row>
    <row r="7" spans="1:3" x14ac:dyDescent="0.2">
      <c r="A7" s="25">
        <v>105</v>
      </c>
      <c r="B7" s="21" t="s">
        <v>484</v>
      </c>
      <c r="C7" t="s">
        <v>479</v>
      </c>
    </row>
    <row r="8" spans="1:3" x14ac:dyDescent="0.2">
      <c r="A8" s="25">
        <v>109</v>
      </c>
      <c r="B8" s="21" t="s">
        <v>485</v>
      </c>
      <c r="C8" t="s">
        <v>486</v>
      </c>
    </row>
    <row r="9" spans="1:3" x14ac:dyDescent="0.2">
      <c r="A9" s="25">
        <v>110</v>
      </c>
      <c r="B9" s="21" t="s">
        <v>487</v>
      </c>
      <c r="C9" t="s">
        <v>479</v>
      </c>
    </row>
    <row r="10" spans="1:3" x14ac:dyDescent="0.2">
      <c r="A10" s="25">
        <v>111</v>
      </c>
      <c r="B10" s="21" t="s">
        <v>488</v>
      </c>
      <c r="C10" t="s">
        <v>479</v>
      </c>
    </row>
    <row r="11" spans="1:3" x14ac:dyDescent="0.2">
      <c r="A11" s="25">
        <v>120</v>
      </c>
      <c r="B11" s="21" t="s">
        <v>489</v>
      </c>
      <c r="C11" t="s">
        <v>479</v>
      </c>
    </row>
    <row r="12" spans="1:3" x14ac:dyDescent="0.2">
      <c r="A12" s="25">
        <v>121</v>
      </c>
      <c r="B12" s="21" t="s">
        <v>490</v>
      </c>
      <c r="C12" t="s">
        <v>479</v>
      </c>
    </row>
    <row r="13" spans="1:3" x14ac:dyDescent="0.2">
      <c r="A13" s="25">
        <v>122</v>
      </c>
      <c r="B13" s="21" t="s">
        <v>491</v>
      </c>
      <c r="C13" t="s">
        <v>479</v>
      </c>
    </row>
    <row r="14" spans="1:3" x14ac:dyDescent="0.2">
      <c r="A14" s="25">
        <v>123</v>
      </c>
      <c r="B14" s="21" t="s">
        <v>492</v>
      </c>
      <c r="C14" t="s">
        <v>479</v>
      </c>
    </row>
    <row r="15" spans="1:3" x14ac:dyDescent="0.2">
      <c r="A15" s="25">
        <v>130</v>
      </c>
      <c r="B15" s="21" t="s">
        <v>493</v>
      </c>
      <c r="C15" t="s">
        <v>494</v>
      </c>
    </row>
    <row r="16" spans="1:3" x14ac:dyDescent="0.2">
      <c r="A16" s="25">
        <v>131</v>
      </c>
      <c r="B16" s="21" t="s">
        <v>495</v>
      </c>
      <c r="C16" t="s">
        <v>494</v>
      </c>
    </row>
    <row r="17" spans="1:3" x14ac:dyDescent="0.2">
      <c r="A17" s="25">
        <v>140</v>
      </c>
      <c r="B17" s="21" t="s">
        <v>496</v>
      </c>
      <c r="C17" t="s">
        <v>486</v>
      </c>
    </row>
    <row r="18" spans="1:3" x14ac:dyDescent="0.2">
      <c r="A18" s="25">
        <v>150</v>
      </c>
      <c r="B18" s="21" t="s">
        <v>497</v>
      </c>
      <c r="C18" t="s">
        <v>486</v>
      </c>
    </row>
    <row r="19" spans="1:3" x14ac:dyDescent="0.2">
      <c r="A19" s="25">
        <v>160</v>
      </c>
      <c r="B19" s="21" t="s">
        <v>498</v>
      </c>
      <c r="C19" t="s">
        <v>499</v>
      </c>
    </row>
    <row r="20" spans="1:3" x14ac:dyDescent="0.2">
      <c r="A20" s="25">
        <v>165</v>
      </c>
      <c r="B20" s="21" t="s">
        <v>500</v>
      </c>
      <c r="C20" t="s">
        <v>499</v>
      </c>
    </row>
    <row r="21" spans="1:3" x14ac:dyDescent="0.2">
      <c r="A21" s="25">
        <v>180</v>
      </c>
      <c r="B21" s="21" t="s">
        <v>501</v>
      </c>
      <c r="C21" t="s">
        <v>479</v>
      </c>
    </row>
    <row r="22" spans="1:3" x14ac:dyDescent="0.2">
      <c r="A22" s="25">
        <v>185</v>
      </c>
      <c r="B22" s="21" t="s">
        <v>502</v>
      </c>
      <c r="C22" t="s">
        <v>486</v>
      </c>
    </row>
    <row r="23" spans="1:3" x14ac:dyDescent="0.2">
      <c r="A23" s="25">
        <v>186</v>
      </c>
      <c r="B23" s="21" t="s">
        <v>503</v>
      </c>
      <c r="C23" t="s">
        <v>504</v>
      </c>
    </row>
    <row r="24" spans="1:3" x14ac:dyDescent="0.2">
      <c r="A24" s="25">
        <v>187</v>
      </c>
      <c r="B24" s="21" t="s">
        <v>505</v>
      </c>
      <c r="C24" t="s">
        <v>504</v>
      </c>
    </row>
    <row r="25" spans="1:3" x14ac:dyDescent="0.2">
      <c r="A25" s="25">
        <v>188</v>
      </c>
      <c r="B25" s="21" t="s">
        <v>506</v>
      </c>
      <c r="C25" t="s">
        <v>504</v>
      </c>
    </row>
    <row r="26" spans="1:3" x14ac:dyDescent="0.2">
      <c r="A26" s="25">
        <v>189</v>
      </c>
      <c r="B26" s="21" t="s">
        <v>507</v>
      </c>
      <c r="C26" t="s">
        <v>504</v>
      </c>
    </row>
    <row r="27" spans="1:3" x14ac:dyDescent="0.2">
      <c r="A27" s="25">
        <v>190</v>
      </c>
      <c r="B27" s="21" t="s">
        <v>508</v>
      </c>
      <c r="C27" t="s">
        <v>504</v>
      </c>
    </row>
    <row r="28" spans="1:3" x14ac:dyDescent="0.2">
      <c r="A28" s="25">
        <v>191</v>
      </c>
      <c r="B28" s="21" t="s">
        <v>509</v>
      </c>
      <c r="C28" t="s">
        <v>504</v>
      </c>
    </row>
    <row r="29" spans="1:3" x14ac:dyDescent="0.2">
      <c r="A29" s="25">
        <v>192</v>
      </c>
      <c r="B29" s="21" t="s">
        <v>510</v>
      </c>
      <c r="C29" t="s">
        <v>504</v>
      </c>
    </row>
    <row r="30" spans="1:3" x14ac:dyDescent="0.2">
      <c r="A30" s="25">
        <v>193</v>
      </c>
      <c r="B30" s="21" t="s">
        <v>511</v>
      </c>
      <c r="C30" t="s">
        <v>504</v>
      </c>
    </row>
    <row r="31" spans="1:3" x14ac:dyDescent="0.2">
      <c r="A31" s="25">
        <v>194</v>
      </c>
      <c r="B31" s="21" t="s">
        <v>512</v>
      </c>
      <c r="C31" t="s">
        <v>504</v>
      </c>
    </row>
    <row r="32" spans="1:3" x14ac:dyDescent="0.2">
      <c r="A32" s="25">
        <v>195</v>
      </c>
      <c r="B32" s="21" t="s">
        <v>513</v>
      </c>
      <c r="C32" t="s">
        <v>504</v>
      </c>
    </row>
    <row r="33" spans="1:3" x14ac:dyDescent="0.2">
      <c r="A33" s="25">
        <v>196</v>
      </c>
      <c r="B33" s="21" t="s">
        <v>514</v>
      </c>
      <c r="C33" t="s">
        <v>504</v>
      </c>
    </row>
    <row r="34" spans="1:3" x14ac:dyDescent="0.2">
      <c r="A34" s="25">
        <v>197</v>
      </c>
      <c r="B34" s="21" t="s">
        <v>515</v>
      </c>
      <c r="C34" t="s">
        <v>504</v>
      </c>
    </row>
    <row r="35" spans="1:3" x14ac:dyDescent="0.2">
      <c r="A35" s="25">
        <v>198</v>
      </c>
      <c r="B35" s="21" t="s">
        <v>516</v>
      </c>
      <c r="C35" t="s">
        <v>504</v>
      </c>
    </row>
    <row r="36" spans="1:3" x14ac:dyDescent="0.2">
      <c r="A36" s="25">
        <v>199</v>
      </c>
      <c r="B36" s="21" t="s">
        <v>517</v>
      </c>
      <c r="C36" t="s">
        <v>504</v>
      </c>
    </row>
    <row r="37" spans="1:3" x14ac:dyDescent="0.2">
      <c r="A37" s="25">
        <v>200</v>
      </c>
      <c r="B37" s="21" t="s">
        <v>518</v>
      </c>
      <c r="C37" t="s">
        <v>519</v>
      </c>
    </row>
    <row r="38" spans="1:3" x14ac:dyDescent="0.2">
      <c r="A38" s="25">
        <v>201</v>
      </c>
      <c r="B38" s="21" t="s">
        <v>520</v>
      </c>
      <c r="C38" t="s">
        <v>519</v>
      </c>
    </row>
    <row r="39" spans="1:3" x14ac:dyDescent="0.2">
      <c r="A39" s="25">
        <v>202</v>
      </c>
      <c r="B39" s="21" t="s">
        <v>521</v>
      </c>
      <c r="C39" t="s">
        <v>519</v>
      </c>
    </row>
    <row r="40" spans="1:3" x14ac:dyDescent="0.2">
      <c r="A40" s="25">
        <v>203</v>
      </c>
      <c r="B40" s="21" t="s">
        <v>522</v>
      </c>
      <c r="C40" t="s">
        <v>519</v>
      </c>
    </row>
    <row r="41" spans="1:3" x14ac:dyDescent="0.2">
      <c r="A41" s="25">
        <v>204</v>
      </c>
      <c r="B41" s="21" t="s">
        <v>523</v>
      </c>
      <c r="C41" t="s">
        <v>519</v>
      </c>
    </row>
    <row r="42" spans="1:3" x14ac:dyDescent="0.2">
      <c r="A42" s="25">
        <v>205</v>
      </c>
      <c r="B42" s="21" t="s">
        <v>524</v>
      </c>
      <c r="C42" t="s">
        <v>486</v>
      </c>
    </row>
    <row r="43" spans="1:3" x14ac:dyDescent="0.2">
      <c r="A43" s="25">
        <v>206</v>
      </c>
      <c r="B43" s="21" t="s">
        <v>525</v>
      </c>
      <c r="C43" t="s">
        <v>519</v>
      </c>
    </row>
    <row r="44" spans="1:3" x14ac:dyDescent="0.2">
      <c r="A44" s="25">
        <v>207</v>
      </c>
      <c r="B44" s="21" t="s">
        <v>526</v>
      </c>
      <c r="C44" t="s">
        <v>519</v>
      </c>
    </row>
    <row r="45" spans="1:3" x14ac:dyDescent="0.2">
      <c r="A45" s="25">
        <v>208</v>
      </c>
      <c r="B45" s="21" t="s">
        <v>527</v>
      </c>
      <c r="C45" t="s">
        <v>519</v>
      </c>
    </row>
    <row r="46" spans="1:3" x14ac:dyDescent="0.2">
      <c r="A46" s="25">
        <v>209</v>
      </c>
      <c r="B46" s="21" t="s">
        <v>528</v>
      </c>
      <c r="C46" t="s">
        <v>519</v>
      </c>
    </row>
    <row r="47" spans="1:3" x14ac:dyDescent="0.2">
      <c r="A47" s="25">
        <v>210</v>
      </c>
      <c r="B47" s="21" t="s">
        <v>529</v>
      </c>
      <c r="C47" t="s">
        <v>486</v>
      </c>
    </row>
    <row r="48" spans="1:3" x14ac:dyDescent="0.2">
      <c r="A48" s="25">
        <v>211</v>
      </c>
      <c r="B48" s="21" t="s">
        <v>530</v>
      </c>
      <c r="C48" t="s">
        <v>486</v>
      </c>
    </row>
    <row r="49" spans="1:3" x14ac:dyDescent="0.2">
      <c r="A49" s="25">
        <v>212</v>
      </c>
      <c r="B49" s="21" t="s">
        <v>531</v>
      </c>
      <c r="C49" t="s">
        <v>519</v>
      </c>
    </row>
    <row r="50" spans="1:3" x14ac:dyDescent="0.2">
      <c r="A50" s="25">
        <v>213</v>
      </c>
      <c r="B50" s="21" t="s">
        <v>532</v>
      </c>
      <c r="C50" t="s">
        <v>519</v>
      </c>
    </row>
    <row r="51" spans="1:3" x14ac:dyDescent="0.2">
      <c r="A51" s="25">
        <v>220</v>
      </c>
      <c r="B51" s="21" t="s">
        <v>533</v>
      </c>
      <c r="C51" t="s">
        <v>519</v>
      </c>
    </row>
    <row r="52" spans="1:3" x14ac:dyDescent="0.2">
      <c r="A52" s="25">
        <v>221</v>
      </c>
      <c r="B52" s="21" t="s">
        <v>534</v>
      </c>
      <c r="C52" t="s">
        <v>519</v>
      </c>
    </row>
    <row r="53" spans="1:3" x14ac:dyDescent="0.2">
      <c r="A53" s="25">
        <v>222</v>
      </c>
      <c r="B53" s="21" t="s">
        <v>535</v>
      </c>
      <c r="C53" t="s">
        <v>519</v>
      </c>
    </row>
    <row r="54" spans="1:3" x14ac:dyDescent="0.2">
      <c r="A54" s="25">
        <v>223</v>
      </c>
      <c r="B54" s="21" t="s">
        <v>536</v>
      </c>
      <c r="C54" t="s">
        <v>519</v>
      </c>
    </row>
    <row r="55" spans="1:3" x14ac:dyDescent="0.2">
      <c r="A55" s="25">
        <v>224</v>
      </c>
      <c r="B55" s="21" t="s">
        <v>537</v>
      </c>
      <c r="C55" t="s">
        <v>519</v>
      </c>
    </row>
    <row r="56" spans="1:3" x14ac:dyDescent="0.2">
      <c r="A56" s="25">
        <v>225</v>
      </c>
      <c r="B56" s="21" t="s">
        <v>538</v>
      </c>
      <c r="C56" t="s">
        <v>519</v>
      </c>
    </row>
    <row r="57" spans="1:3" x14ac:dyDescent="0.2">
      <c r="A57" s="25">
        <v>226</v>
      </c>
      <c r="B57" s="21" t="s">
        <v>539</v>
      </c>
      <c r="C57" t="s">
        <v>519</v>
      </c>
    </row>
    <row r="58" spans="1:3" x14ac:dyDescent="0.2">
      <c r="A58" s="25">
        <v>227</v>
      </c>
      <c r="B58" s="21" t="s">
        <v>540</v>
      </c>
      <c r="C58" t="s">
        <v>519</v>
      </c>
    </row>
    <row r="59" spans="1:3" x14ac:dyDescent="0.2">
      <c r="A59" s="25">
        <v>228</v>
      </c>
      <c r="B59" s="21" t="s">
        <v>541</v>
      </c>
      <c r="C59" t="s">
        <v>519</v>
      </c>
    </row>
    <row r="60" spans="1:3" x14ac:dyDescent="0.2">
      <c r="A60" s="25">
        <v>229</v>
      </c>
      <c r="B60" s="21" t="s">
        <v>542</v>
      </c>
      <c r="C60" t="s">
        <v>519</v>
      </c>
    </row>
    <row r="61" spans="1:3" x14ac:dyDescent="0.2">
      <c r="A61" s="25">
        <v>230</v>
      </c>
      <c r="B61" s="21" t="s">
        <v>543</v>
      </c>
      <c r="C61" t="s">
        <v>519</v>
      </c>
    </row>
    <row r="62" spans="1:3" x14ac:dyDescent="0.2">
      <c r="A62" s="25">
        <v>231</v>
      </c>
      <c r="B62" s="21" t="s">
        <v>544</v>
      </c>
      <c r="C62" t="s">
        <v>519</v>
      </c>
    </row>
    <row r="63" spans="1:3" x14ac:dyDescent="0.2">
      <c r="A63" s="25">
        <v>232</v>
      </c>
      <c r="B63" s="21" t="s">
        <v>545</v>
      </c>
      <c r="C63" t="s">
        <v>519</v>
      </c>
    </row>
    <row r="64" spans="1:3" x14ac:dyDescent="0.2">
      <c r="A64" s="25">
        <v>233</v>
      </c>
      <c r="B64" s="21" t="s">
        <v>546</v>
      </c>
      <c r="C64" t="s">
        <v>519</v>
      </c>
    </row>
    <row r="65" spans="1:3" x14ac:dyDescent="0.2">
      <c r="A65" s="25">
        <v>234</v>
      </c>
      <c r="B65" s="21" t="s">
        <v>547</v>
      </c>
      <c r="C65" t="s">
        <v>519</v>
      </c>
    </row>
    <row r="66" spans="1:3" x14ac:dyDescent="0.2">
      <c r="A66" s="25">
        <v>235</v>
      </c>
      <c r="B66" s="21" t="s">
        <v>548</v>
      </c>
      <c r="C66" t="s">
        <v>519</v>
      </c>
    </row>
    <row r="67" spans="1:3" x14ac:dyDescent="0.2">
      <c r="A67" s="25">
        <v>236</v>
      </c>
      <c r="B67" s="21" t="s">
        <v>549</v>
      </c>
      <c r="C67" t="s">
        <v>519</v>
      </c>
    </row>
    <row r="68" spans="1:3" x14ac:dyDescent="0.2">
      <c r="A68" s="25">
        <v>237</v>
      </c>
      <c r="B68" s="21" t="s">
        <v>550</v>
      </c>
      <c r="C68" t="s">
        <v>519</v>
      </c>
    </row>
    <row r="69" spans="1:3" x14ac:dyDescent="0.2">
      <c r="A69" s="25">
        <v>238</v>
      </c>
      <c r="B69" s="21" t="s">
        <v>551</v>
      </c>
      <c r="C69" t="s">
        <v>519</v>
      </c>
    </row>
    <row r="70" spans="1:3" x14ac:dyDescent="0.2">
      <c r="A70" s="25">
        <v>239</v>
      </c>
      <c r="B70" s="21" t="s">
        <v>552</v>
      </c>
      <c r="C70" t="s">
        <v>519</v>
      </c>
    </row>
    <row r="71" spans="1:3" x14ac:dyDescent="0.2">
      <c r="A71" s="25">
        <v>240</v>
      </c>
      <c r="B71" s="21" t="s">
        <v>553</v>
      </c>
      <c r="C71" t="s">
        <v>519</v>
      </c>
    </row>
    <row r="72" spans="1:3" x14ac:dyDescent="0.2">
      <c r="A72" s="25">
        <v>241</v>
      </c>
      <c r="B72" s="21" t="s">
        <v>554</v>
      </c>
      <c r="C72" t="s">
        <v>519</v>
      </c>
    </row>
    <row r="73" spans="1:3" x14ac:dyDescent="0.2">
      <c r="A73" s="25">
        <v>242</v>
      </c>
      <c r="B73" s="21" t="s">
        <v>555</v>
      </c>
      <c r="C73" t="s">
        <v>519</v>
      </c>
    </row>
    <row r="74" spans="1:3" x14ac:dyDescent="0.2">
      <c r="A74" s="25">
        <v>243</v>
      </c>
      <c r="B74" s="21" t="s">
        <v>556</v>
      </c>
      <c r="C74" t="s">
        <v>519</v>
      </c>
    </row>
    <row r="75" spans="1:3" x14ac:dyDescent="0.2">
      <c r="A75" s="25">
        <v>248</v>
      </c>
      <c r="B75" s="21" t="s">
        <v>227</v>
      </c>
      <c r="C75" t="s">
        <v>519</v>
      </c>
    </row>
    <row r="76" spans="1:3" x14ac:dyDescent="0.2">
      <c r="A76" s="25">
        <v>249</v>
      </c>
      <c r="B76" s="21" t="s">
        <v>557</v>
      </c>
      <c r="C76" t="s">
        <v>519</v>
      </c>
    </row>
    <row r="77" spans="1:3" x14ac:dyDescent="0.2">
      <c r="A77" s="25">
        <v>252</v>
      </c>
      <c r="B77" s="21" t="s">
        <v>558</v>
      </c>
      <c r="C77" t="s">
        <v>479</v>
      </c>
    </row>
    <row r="78" spans="1:3" x14ac:dyDescent="0.2">
      <c r="A78" s="25">
        <v>253</v>
      </c>
      <c r="B78" s="21" t="s">
        <v>559</v>
      </c>
      <c r="C78" t="s">
        <v>479</v>
      </c>
    </row>
    <row r="79" spans="1:3" x14ac:dyDescent="0.2">
      <c r="A79" s="25">
        <v>254</v>
      </c>
      <c r="B79" s="21" t="s">
        <v>560</v>
      </c>
      <c r="C79" t="s">
        <v>519</v>
      </c>
    </row>
    <row r="80" spans="1:3" x14ac:dyDescent="0.2">
      <c r="A80" s="25">
        <v>255</v>
      </c>
      <c r="B80" s="21" t="s">
        <v>561</v>
      </c>
      <c r="C80" t="s">
        <v>519</v>
      </c>
    </row>
    <row r="81" spans="1:3" x14ac:dyDescent="0.2">
      <c r="A81" s="25">
        <v>256</v>
      </c>
      <c r="B81" s="21" t="s">
        <v>562</v>
      </c>
      <c r="C81" t="s">
        <v>563</v>
      </c>
    </row>
    <row r="82" spans="1:3" x14ac:dyDescent="0.2">
      <c r="A82" s="25">
        <v>257</v>
      </c>
      <c r="B82" s="21" t="s">
        <v>564</v>
      </c>
      <c r="C82" t="s">
        <v>486</v>
      </c>
    </row>
    <row r="83" spans="1:3" x14ac:dyDescent="0.2">
      <c r="A83" s="25">
        <v>258</v>
      </c>
      <c r="B83" s="21" t="s">
        <v>565</v>
      </c>
      <c r="C83" t="s">
        <v>519</v>
      </c>
    </row>
    <row r="84" spans="1:3" x14ac:dyDescent="0.2">
      <c r="A84" s="25">
        <v>259</v>
      </c>
      <c r="B84" s="21" t="s">
        <v>566</v>
      </c>
      <c r="C84" t="s">
        <v>519</v>
      </c>
    </row>
    <row r="85" spans="1:3" x14ac:dyDescent="0.2">
      <c r="A85" s="25">
        <v>261</v>
      </c>
      <c r="B85" s="21" t="s">
        <v>567</v>
      </c>
      <c r="C85" t="s">
        <v>519</v>
      </c>
    </row>
    <row r="86" spans="1:3" x14ac:dyDescent="0.2">
      <c r="A86" s="25">
        <v>262</v>
      </c>
      <c r="B86" s="21" t="s">
        <v>568</v>
      </c>
      <c r="C86" t="s">
        <v>519</v>
      </c>
    </row>
    <row r="87" spans="1:3" x14ac:dyDescent="0.2">
      <c r="A87" s="25">
        <v>263</v>
      </c>
      <c r="B87" s="21" t="s">
        <v>569</v>
      </c>
      <c r="C87" t="s">
        <v>519</v>
      </c>
    </row>
    <row r="88" spans="1:3" x14ac:dyDescent="0.2">
      <c r="A88" s="25">
        <v>264</v>
      </c>
      <c r="B88" s="21" t="s">
        <v>570</v>
      </c>
      <c r="C88" t="s">
        <v>519</v>
      </c>
    </row>
    <row r="89" spans="1:3" x14ac:dyDescent="0.2">
      <c r="A89" s="25">
        <v>265</v>
      </c>
      <c r="B89" s="21" t="s">
        <v>571</v>
      </c>
      <c r="C89" t="s">
        <v>519</v>
      </c>
    </row>
    <row r="90" spans="1:3" x14ac:dyDescent="0.2">
      <c r="A90" s="25">
        <v>266</v>
      </c>
      <c r="B90" s="21" t="s">
        <v>572</v>
      </c>
      <c r="C90" t="s">
        <v>519</v>
      </c>
    </row>
    <row r="91" spans="1:3" x14ac:dyDescent="0.2">
      <c r="A91" s="25">
        <v>268</v>
      </c>
      <c r="B91" s="21" t="s">
        <v>573</v>
      </c>
      <c r="C91" t="s">
        <v>519</v>
      </c>
    </row>
    <row r="92" spans="1:3" x14ac:dyDescent="0.2">
      <c r="A92" s="25">
        <v>269</v>
      </c>
      <c r="B92" s="21" t="s">
        <v>574</v>
      </c>
      <c r="C92" t="s">
        <v>519</v>
      </c>
    </row>
    <row r="93" spans="1:3" x14ac:dyDescent="0.2">
      <c r="A93" s="25">
        <v>270</v>
      </c>
      <c r="B93" s="21" t="s">
        <v>575</v>
      </c>
      <c r="C93" t="s">
        <v>519</v>
      </c>
    </row>
    <row r="94" spans="1:3" x14ac:dyDescent="0.2">
      <c r="A94" s="25">
        <v>271</v>
      </c>
      <c r="B94" s="21" t="s">
        <v>576</v>
      </c>
      <c r="C94" t="s">
        <v>519</v>
      </c>
    </row>
    <row r="95" spans="1:3" x14ac:dyDescent="0.2">
      <c r="A95" s="25">
        <v>272</v>
      </c>
      <c r="B95" s="21" t="s">
        <v>577</v>
      </c>
      <c r="C95" t="s">
        <v>519</v>
      </c>
    </row>
    <row r="96" spans="1:3" x14ac:dyDescent="0.2">
      <c r="A96" s="25">
        <v>273</v>
      </c>
      <c r="B96" s="21" t="s">
        <v>578</v>
      </c>
      <c r="C96" t="s">
        <v>519</v>
      </c>
    </row>
    <row r="97" spans="1:3" x14ac:dyDescent="0.2">
      <c r="A97" s="25">
        <v>274</v>
      </c>
      <c r="B97" s="21" t="s">
        <v>579</v>
      </c>
      <c r="C97" t="s">
        <v>519</v>
      </c>
    </row>
    <row r="98" spans="1:3" x14ac:dyDescent="0.2">
      <c r="A98" s="25">
        <v>275</v>
      </c>
      <c r="B98" s="21" t="s">
        <v>580</v>
      </c>
      <c r="C98" t="s">
        <v>519</v>
      </c>
    </row>
    <row r="99" spans="1:3" x14ac:dyDescent="0.2">
      <c r="A99" s="25">
        <v>276</v>
      </c>
      <c r="B99" s="21" t="s">
        <v>581</v>
      </c>
      <c r="C99" t="s">
        <v>519</v>
      </c>
    </row>
    <row r="100" spans="1:3" x14ac:dyDescent="0.2">
      <c r="A100" s="25">
        <v>277</v>
      </c>
      <c r="B100" s="21" t="s">
        <v>582</v>
      </c>
      <c r="C100" t="s">
        <v>519</v>
      </c>
    </row>
    <row r="101" spans="1:3" x14ac:dyDescent="0.2">
      <c r="A101" s="25">
        <v>278</v>
      </c>
      <c r="B101" s="21" t="s">
        <v>583</v>
      </c>
      <c r="C101" t="s">
        <v>519</v>
      </c>
    </row>
    <row r="102" spans="1:3" x14ac:dyDescent="0.2">
      <c r="A102" s="25">
        <v>279</v>
      </c>
      <c r="B102" s="21" t="s">
        <v>584</v>
      </c>
      <c r="C102" t="s">
        <v>519</v>
      </c>
    </row>
    <row r="103" spans="1:3" x14ac:dyDescent="0.2">
      <c r="A103" s="25">
        <v>280</v>
      </c>
      <c r="B103" s="21" t="s">
        <v>585</v>
      </c>
      <c r="C103" t="s">
        <v>519</v>
      </c>
    </row>
    <row r="104" spans="1:3" x14ac:dyDescent="0.2">
      <c r="A104" s="25">
        <v>281</v>
      </c>
      <c r="B104" s="21" t="s">
        <v>586</v>
      </c>
      <c r="C104" t="s">
        <v>519</v>
      </c>
    </row>
    <row r="105" spans="1:3" x14ac:dyDescent="0.2">
      <c r="A105" s="25">
        <v>282</v>
      </c>
      <c r="B105" s="21" t="s">
        <v>587</v>
      </c>
      <c r="C105" t="s">
        <v>519</v>
      </c>
    </row>
    <row r="106" spans="1:3" x14ac:dyDescent="0.2">
      <c r="A106" s="25">
        <v>283</v>
      </c>
      <c r="B106" s="21" t="s">
        <v>588</v>
      </c>
      <c r="C106" t="s">
        <v>519</v>
      </c>
    </row>
    <row r="107" spans="1:3" x14ac:dyDescent="0.2">
      <c r="A107" s="25">
        <v>284</v>
      </c>
      <c r="B107" s="21" t="s">
        <v>589</v>
      </c>
      <c r="C107" t="s">
        <v>519</v>
      </c>
    </row>
    <row r="108" spans="1:3" x14ac:dyDescent="0.2">
      <c r="A108" s="25">
        <v>285</v>
      </c>
      <c r="B108" s="21" t="s">
        <v>590</v>
      </c>
      <c r="C108" t="s">
        <v>519</v>
      </c>
    </row>
    <row r="109" spans="1:3" x14ac:dyDescent="0.2">
      <c r="A109" s="25">
        <v>286</v>
      </c>
      <c r="B109" s="21" t="s">
        <v>591</v>
      </c>
      <c r="C109" t="s">
        <v>519</v>
      </c>
    </row>
    <row r="110" spans="1:3" x14ac:dyDescent="0.2">
      <c r="A110" s="25">
        <v>287</v>
      </c>
      <c r="B110" s="21" t="s">
        <v>592</v>
      </c>
      <c r="C110" t="s">
        <v>519</v>
      </c>
    </row>
    <row r="111" spans="1:3" x14ac:dyDescent="0.2">
      <c r="A111" s="25">
        <v>288</v>
      </c>
      <c r="B111" s="21" t="s">
        <v>593</v>
      </c>
      <c r="C111" t="s">
        <v>519</v>
      </c>
    </row>
    <row r="112" spans="1:3" x14ac:dyDescent="0.2">
      <c r="A112" s="25">
        <v>289</v>
      </c>
      <c r="B112" s="21" t="s">
        <v>594</v>
      </c>
      <c r="C112" t="s">
        <v>519</v>
      </c>
    </row>
    <row r="113" spans="1:3" x14ac:dyDescent="0.2">
      <c r="A113" s="25">
        <v>290</v>
      </c>
      <c r="B113" s="21" t="s">
        <v>595</v>
      </c>
      <c r="C113" t="s">
        <v>519</v>
      </c>
    </row>
    <row r="114" spans="1:3" x14ac:dyDescent="0.2">
      <c r="A114" s="25">
        <v>291</v>
      </c>
      <c r="B114" s="21" t="s">
        <v>596</v>
      </c>
      <c r="C114" t="s">
        <v>519</v>
      </c>
    </row>
    <row r="115" spans="1:3" x14ac:dyDescent="0.2">
      <c r="A115" s="25">
        <v>292</v>
      </c>
      <c r="B115" s="21" t="s">
        <v>597</v>
      </c>
      <c r="C115" t="s">
        <v>519</v>
      </c>
    </row>
    <row r="116" spans="1:3" x14ac:dyDescent="0.2">
      <c r="A116" s="25">
        <v>293</v>
      </c>
      <c r="B116" s="21" t="s">
        <v>598</v>
      </c>
      <c r="C116" t="s">
        <v>519</v>
      </c>
    </row>
    <row r="117" spans="1:3" x14ac:dyDescent="0.2">
      <c r="A117" s="25">
        <v>296</v>
      </c>
      <c r="B117" s="21" t="s">
        <v>599</v>
      </c>
      <c r="C117" t="s">
        <v>519</v>
      </c>
    </row>
    <row r="118" spans="1:3" x14ac:dyDescent="0.2">
      <c r="A118" s="25">
        <v>301</v>
      </c>
      <c r="B118" s="21" t="s">
        <v>600</v>
      </c>
      <c r="C118" t="s">
        <v>499</v>
      </c>
    </row>
    <row r="119" spans="1:3" x14ac:dyDescent="0.2">
      <c r="A119" s="25">
        <v>311</v>
      </c>
      <c r="B119" s="21" t="s">
        <v>601</v>
      </c>
      <c r="C119" t="s">
        <v>486</v>
      </c>
    </row>
    <row r="120" spans="1:3" x14ac:dyDescent="0.2">
      <c r="A120" s="25">
        <v>312</v>
      </c>
      <c r="B120" s="21" t="s">
        <v>602</v>
      </c>
      <c r="C120" t="s">
        <v>486</v>
      </c>
    </row>
    <row r="121" spans="1:3" x14ac:dyDescent="0.2">
      <c r="A121" s="25">
        <v>351</v>
      </c>
      <c r="B121" s="21" t="s">
        <v>603</v>
      </c>
      <c r="C121" t="s">
        <v>499</v>
      </c>
    </row>
    <row r="122" spans="1:3" x14ac:dyDescent="0.2">
      <c r="A122" s="25">
        <v>361</v>
      </c>
      <c r="B122" s="21" t="s">
        <v>604</v>
      </c>
      <c r="C122" t="s">
        <v>499</v>
      </c>
    </row>
    <row r="123" spans="1:3" x14ac:dyDescent="0.2">
      <c r="A123" s="25">
        <v>362</v>
      </c>
      <c r="B123" s="21" t="s">
        <v>605</v>
      </c>
      <c r="C123" t="s">
        <v>486</v>
      </c>
    </row>
    <row r="124" spans="1:3" x14ac:dyDescent="0.2">
      <c r="A124" s="25">
        <v>380</v>
      </c>
      <c r="B124" s="21" t="s">
        <v>606</v>
      </c>
      <c r="C124" t="s">
        <v>486</v>
      </c>
    </row>
    <row r="125" spans="1:3" x14ac:dyDescent="0.2">
      <c r="A125" s="25">
        <v>385</v>
      </c>
      <c r="B125" s="21" t="s">
        <v>607</v>
      </c>
      <c r="C125" t="s">
        <v>486</v>
      </c>
    </row>
    <row r="126" spans="1:3" x14ac:dyDescent="0.2">
      <c r="A126" s="25">
        <v>386</v>
      </c>
      <c r="B126" s="21" t="s">
        <v>608</v>
      </c>
      <c r="C126" t="s">
        <v>504</v>
      </c>
    </row>
    <row r="127" spans="1:3" x14ac:dyDescent="0.2">
      <c r="A127" s="25">
        <v>387</v>
      </c>
      <c r="B127" s="21" t="s">
        <v>609</v>
      </c>
      <c r="C127" t="s">
        <v>504</v>
      </c>
    </row>
    <row r="128" spans="1:3" x14ac:dyDescent="0.2">
      <c r="A128" s="25">
        <v>388</v>
      </c>
      <c r="B128" s="21" t="s">
        <v>610</v>
      </c>
      <c r="C128" t="s">
        <v>504</v>
      </c>
    </row>
    <row r="129" spans="1:3" x14ac:dyDescent="0.2">
      <c r="A129" s="25">
        <v>389</v>
      </c>
      <c r="B129" s="21" t="s">
        <v>611</v>
      </c>
      <c r="C129" t="s">
        <v>504</v>
      </c>
    </row>
    <row r="130" spans="1:3" x14ac:dyDescent="0.2">
      <c r="A130" s="25">
        <v>390</v>
      </c>
      <c r="B130" s="21" t="s">
        <v>612</v>
      </c>
      <c r="C130" t="s">
        <v>504</v>
      </c>
    </row>
    <row r="131" spans="1:3" x14ac:dyDescent="0.2">
      <c r="A131" s="25">
        <v>391</v>
      </c>
      <c r="B131" s="21" t="s">
        <v>613</v>
      </c>
      <c r="C131" t="s">
        <v>504</v>
      </c>
    </row>
    <row r="132" spans="1:3" x14ac:dyDescent="0.2">
      <c r="A132" s="25">
        <v>392</v>
      </c>
      <c r="B132" s="21" t="s">
        <v>614</v>
      </c>
      <c r="C132" t="s">
        <v>504</v>
      </c>
    </row>
    <row r="133" spans="1:3" x14ac:dyDescent="0.2">
      <c r="A133" s="25">
        <v>393</v>
      </c>
      <c r="B133" s="21" t="s">
        <v>615</v>
      </c>
      <c r="C133" t="s">
        <v>519</v>
      </c>
    </row>
    <row r="134" spans="1:3" x14ac:dyDescent="0.2">
      <c r="A134" s="25">
        <v>394</v>
      </c>
      <c r="B134" s="21" t="s">
        <v>616</v>
      </c>
      <c r="C134" t="s">
        <v>504</v>
      </c>
    </row>
    <row r="135" spans="1:3" x14ac:dyDescent="0.2">
      <c r="A135" s="25">
        <v>395</v>
      </c>
      <c r="B135" s="21" t="s">
        <v>617</v>
      </c>
      <c r="C135" t="s">
        <v>504</v>
      </c>
    </row>
    <row r="136" spans="1:3" x14ac:dyDescent="0.2">
      <c r="A136" s="25">
        <v>396</v>
      </c>
      <c r="B136" s="21" t="s">
        <v>618</v>
      </c>
      <c r="C136" t="s">
        <v>504</v>
      </c>
    </row>
    <row r="137" spans="1:3" x14ac:dyDescent="0.2">
      <c r="A137" s="25">
        <v>397</v>
      </c>
      <c r="B137" s="21" t="s">
        <v>619</v>
      </c>
      <c r="C137" t="s">
        <v>504</v>
      </c>
    </row>
    <row r="138" spans="1:3" x14ac:dyDescent="0.2">
      <c r="A138" s="25">
        <v>398</v>
      </c>
      <c r="B138" s="21" t="s">
        <v>620</v>
      </c>
      <c r="C138" t="s">
        <v>504</v>
      </c>
    </row>
    <row r="139" spans="1:3" x14ac:dyDescent="0.2">
      <c r="A139" s="25">
        <v>399</v>
      </c>
      <c r="B139" s="21" t="s">
        <v>621</v>
      </c>
      <c r="C139" t="s">
        <v>504</v>
      </c>
    </row>
    <row r="140" spans="1:3" x14ac:dyDescent="0.2">
      <c r="A140" s="25">
        <v>400</v>
      </c>
      <c r="B140" s="21" t="s">
        <v>622</v>
      </c>
      <c r="C140" t="s">
        <v>519</v>
      </c>
    </row>
    <row r="141" spans="1:3" x14ac:dyDescent="0.2">
      <c r="A141" s="25">
        <v>401</v>
      </c>
      <c r="B141" s="21" t="s">
        <v>623</v>
      </c>
      <c r="C141" t="s">
        <v>519</v>
      </c>
    </row>
    <row r="142" spans="1:3" x14ac:dyDescent="0.2">
      <c r="A142" s="25">
        <v>402</v>
      </c>
      <c r="B142" s="21" t="s">
        <v>624</v>
      </c>
      <c r="C142" t="s">
        <v>519</v>
      </c>
    </row>
    <row r="143" spans="1:3" x14ac:dyDescent="0.2">
      <c r="A143" s="25">
        <v>403</v>
      </c>
      <c r="B143" s="21" t="s">
        <v>625</v>
      </c>
      <c r="C143" t="s">
        <v>519</v>
      </c>
    </row>
    <row r="144" spans="1:3" x14ac:dyDescent="0.2">
      <c r="A144" s="25">
        <v>404</v>
      </c>
      <c r="B144" s="21" t="s">
        <v>626</v>
      </c>
      <c r="C144" t="s">
        <v>519</v>
      </c>
    </row>
    <row r="145" spans="1:3" x14ac:dyDescent="0.2">
      <c r="A145" s="25">
        <v>405</v>
      </c>
      <c r="B145" s="21" t="s">
        <v>627</v>
      </c>
      <c r="C145" t="s">
        <v>504</v>
      </c>
    </row>
    <row r="146" spans="1:3" x14ac:dyDescent="0.2">
      <c r="A146" s="25">
        <v>406</v>
      </c>
      <c r="B146" s="21" t="s">
        <v>628</v>
      </c>
      <c r="C146" t="s">
        <v>519</v>
      </c>
    </row>
    <row r="147" spans="1:3" x14ac:dyDescent="0.2">
      <c r="A147" s="25">
        <v>407</v>
      </c>
      <c r="B147" s="21" t="s">
        <v>629</v>
      </c>
      <c r="C147" t="s">
        <v>519</v>
      </c>
    </row>
    <row r="148" spans="1:3" x14ac:dyDescent="0.2">
      <c r="A148" s="25">
        <v>408</v>
      </c>
      <c r="B148" s="21" t="s">
        <v>630</v>
      </c>
      <c r="C148" t="s">
        <v>519</v>
      </c>
    </row>
    <row r="149" spans="1:3" x14ac:dyDescent="0.2">
      <c r="A149" s="25">
        <v>409</v>
      </c>
      <c r="B149" s="21" t="s">
        <v>631</v>
      </c>
      <c r="C149" t="s">
        <v>519</v>
      </c>
    </row>
    <row r="150" spans="1:3" x14ac:dyDescent="0.2">
      <c r="A150" s="25">
        <v>410</v>
      </c>
      <c r="B150" s="21" t="s">
        <v>632</v>
      </c>
      <c r="C150" t="s">
        <v>519</v>
      </c>
    </row>
    <row r="151" spans="1:3" x14ac:dyDescent="0.2">
      <c r="A151" s="25">
        <v>411</v>
      </c>
      <c r="B151" s="21" t="s">
        <v>633</v>
      </c>
      <c r="C151" t="s">
        <v>519</v>
      </c>
    </row>
    <row r="152" spans="1:3" x14ac:dyDescent="0.2">
      <c r="A152" s="25">
        <v>412</v>
      </c>
      <c r="B152" s="21" t="s">
        <v>634</v>
      </c>
      <c r="C152" t="s">
        <v>519</v>
      </c>
    </row>
    <row r="153" spans="1:3" x14ac:dyDescent="0.2">
      <c r="A153" s="25">
        <v>413</v>
      </c>
      <c r="B153" s="21" t="s">
        <v>635</v>
      </c>
      <c r="C153" t="s">
        <v>519</v>
      </c>
    </row>
    <row r="154" spans="1:3" x14ac:dyDescent="0.2">
      <c r="A154" s="25">
        <v>420</v>
      </c>
      <c r="B154" s="21" t="s">
        <v>636</v>
      </c>
      <c r="C154" t="s">
        <v>519</v>
      </c>
    </row>
    <row r="155" spans="1:3" x14ac:dyDescent="0.2">
      <c r="A155" s="25">
        <v>421</v>
      </c>
      <c r="B155" s="21" t="s">
        <v>637</v>
      </c>
      <c r="C155" t="s">
        <v>519</v>
      </c>
    </row>
    <row r="156" spans="1:3" x14ac:dyDescent="0.2">
      <c r="A156" s="25">
        <v>422</v>
      </c>
      <c r="B156" s="21" t="s">
        <v>638</v>
      </c>
      <c r="C156" t="s">
        <v>519</v>
      </c>
    </row>
    <row r="157" spans="1:3" x14ac:dyDescent="0.2">
      <c r="A157" s="25">
        <v>423</v>
      </c>
      <c r="B157" s="21" t="s">
        <v>639</v>
      </c>
      <c r="C157" t="s">
        <v>519</v>
      </c>
    </row>
    <row r="158" spans="1:3" x14ac:dyDescent="0.2">
      <c r="A158" s="25">
        <v>424</v>
      </c>
      <c r="B158" s="21" t="s">
        <v>640</v>
      </c>
      <c r="C158" t="s">
        <v>519</v>
      </c>
    </row>
    <row r="159" spans="1:3" x14ac:dyDescent="0.2">
      <c r="A159" s="25">
        <v>425</v>
      </c>
      <c r="B159" s="21" t="s">
        <v>641</v>
      </c>
      <c r="C159" t="s">
        <v>519</v>
      </c>
    </row>
    <row r="160" spans="1:3" x14ac:dyDescent="0.2">
      <c r="A160" s="25">
        <v>426</v>
      </c>
      <c r="B160" s="21" t="s">
        <v>642</v>
      </c>
      <c r="C160" t="s">
        <v>519</v>
      </c>
    </row>
    <row r="161" spans="1:3" x14ac:dyDescent="0.2">
      <c r="A161" s="25">
        <v>427</v>
      </c>
      <c r="B161" s="21" t="s">
        <v>643</v>
      </c>
      <c r="C161" t="s">
        <v>519</v>
      </c>
    </row>
    <row r="162" spans="1:3" x14ac:dyDescent="0.2">
      <c r="A162" s="25">
        <v>428</v>
      </c>
      <c r="B162" s="21" t="s">
        <v>644</v>
      </c>
      <c r="C162" t="s">
        <v>519</v>
      </c>
    </row>
    <row r="163" spans="1:3" x14ac:dyDescent="0.2">
      <c r="A163" s="25">
        <v>429</v>
      </c>
      <c r="B163" s="21" t="s">
        <v>645</v>
      </c>
      <c r="C163" t="s">
        <v>519</v>
      </c>
    </row>
    <row r="164" spans="1:3" x14ac:dyDescent="0.2">
      <c r="A164" s="25">
        <v>430</v>
      </c>
      <c r="B164" s="21" t="s">
        <v>646</v>
      </c>
      <c r="C164" t="s">
        <v>519</v>
      </c>
    </row>
    <row r="165" spans="1:3" x14ac:dyDescent="0.2">
      <c r="A165" s="25">
        <v>431</v>
      </c>
      <c r="B165" s="21" t="s">
        <v>647</v>
      </c>
      <c r="C165" t="s">
        <v>519</v>
      </c>
    </row>
    <row r="166" spans="1:3" x14ac:dyDescent="0.2">
      <c r="A166" s="25">
        <v>432</v>
      </c>
      <c r="B166" s="21" t="s">
        <v>648</v>
      </c>
      <c r="C166" t="s">
        <v>519</v>
      </c>
    </row>
    <row r="167" spans="1:3" x14ac:dyDescent="0.2">
      <c r="A167" s="25">
        <v>433</v>
      </c>
      <c r="B167" s="21" t="s">
        <v>649</v>
      </c>
      <c r="C167" t="s">
        <v>519</v>
      </c>
    </row>
    <row r="168" spans="1:3" x14ac:dyDescent="0.2">
      <c r="A168" s="25">
        <v>434</v>
      </c>
      <c r="B168" s="21" t="s">
        <v>650</v>
      </c>
      <c r="C168" t="s">
        <v>519</v>
      </c>
    </row>
    <row r="169" spans="1:3" x14ac:dyDescent="0.2">
      <c r="A169" s="25">
        <v>435</v>
      </c>
      <c r="B169" s="21" t="s">
        <v>651</v>
      </c>
      <c r="C169" t="s">
        <v>519</v>
      </c>
    </row>
    <row r="170" spans="1:3" x14ac:dyDescent="0.2">
      <c r="A170" s="25">
        <v>436</v>
      </c>
      <c r="B170" s="21" t="s">
        <v>652</v>
      </c>
      <c r="C170" t="s">
        <v>519</v>
      </c>
    </row>
    <row r="171" spans="1:3" x14ac:dyDescent="0.2">
      <c r="A171" s="25">
        <v>437</v>
      </c>
      <c r="B171" s="21" t="s">
        <v>653</v>
      </c>
      <c r="C171" t="s">
        <v>519</v>
      </c>
    </row>
    <row r="172" spans="1:3" x14ac:dyDescent="0.2">
      <c r="A172" s="25">
        <v>438</v>
      </c>
      <c r="B172" s="21" t="s">
        <v>654</v>
      </c>
      <c r="C172" t="s">
        <v>519</v>
      </c>
    </row>
    <row r="173" spans="1:3" x14ac:dyDescent="0.2">
      <c r="A173" s="25">
        <v>439</v>
      </c>
      <c r="B173" s="21" t="s">
        <v>655</v>
      </c>
      <c r="C173" t="s">
        <v>519</v>
      </c>
    </row>
    <row r="174" spans="1:3" x14ac:dyDescent="0.2">
      <c r="A174" s="25">
        <v>440</v>
      </c>
      <c r="B174" s="21" t="s">
        <v>656</v>
      </c>
      <c r="C174" t="s">
        <v>519</v>
      </c>
    </row>
    <row r="175" spans="1:3" x14ac:dyDescent="0.2">
      <c r="A175" s="25">
        <v>441</v>
      </c>
      <c r="B175" s="21" t="s">
        <v>657</v>
      </c>
      <c r="C175" t="s">
        <v>519</v>
      </c>
    </row>
    <row r="176" spans="1:3" x14ac:dyDescent="0.2">
      <c r="A176" s="25">
        <v>442</v>
      </c>
      <c r="B176" s="21" t="s">
        <v>658</v>
      </c>
      <c r="C176" t="s">
        <v>519</v>
      </c>
    </row>
    <row r="177" spans="1:3" x14ac:dyDescent="0.2">
      <c r="A177" s="25">
        <v>443</v>
      </c>
      <c r="B177" s="21" t="s">
        <v>659</v>
      </c>
      <c r="C177" t="s">
        <v>519</v>
      </c>
    </row>
    <row r="178" spans="1:3" x14ac:dyDescent="0.2">
      <c r="A178" s="25">
        <v>448</v>
      </c>
      <c r="B178" s="21" t="s">
        <v>660</v>
      </c>
      <c r="C178" t="s">
        <v>519</v>
      </c>
    </row>
    <row r="179" spans="1:3" x14ac:dyDescent="0.2">
      <c r="A179" s="25">
        <v>449</v>
      </c>
      <c r="B179" s="21" t="s">
        <v>661</v>
      </c>
      <c r="C179" t="s">
        <v>519</v>
      </c>
    </row>
    <row r="180" spans="1:3" x14ac:dyDescent="0.2">
      <c r="A180" s="25">
        <v>452</v>
      </c>
      <c r="B180" s="21" t="s">
        <v>662</v>
      </c>
      <c r="C180" t="s">
        <v>479</v>
      </c>
    </row>
    <row r="181" spans="1:3" x14ac:dyDescent="0.2">
      <c r="A181" s="25">
        <v>453</v>
      </c>
      <c r="B181" s="21" t="s">
        <v>663</v>
      </c>
      <c r="C181" t="s">
        <v>479</v>
      </c>
    </row>
    <row r="182" spans="1:3" x14ac:dyDescent="0.2">
      <c r="A182" s="25">
        <v>454</v>
      </c>
      <c r="B182" s="21" t="s">
        <v>664</v>
      </c>
      <c r="C182" t="s">
        <v>519</v>
      </c>
    </row>
    <row r="183" spans="1:3" x14ac:dyDescent="0.2">
      <c r="A183" s="25">
        <v>455</v>
      </c>
      <c r="B183" s="21" t="s">
        <v>665</v>
      </c>
      <c r="C183" t="s">
        <v>519</v>
      </c>
    </row>
    <row r="184" spans="1:3" x14ac:dyDescent="0.2">
      <c r="A184" s="25">
        <v>456</v>
      </c>
      <c r="B184" s="21" t="s">
        <v>666</v>
      </c>
      <c r="C184" t="s">
        <v>519</v>
      </c>
    </row>
    <row r="185" spans="1:3" x14ac:dyDescent="0.2">
      <c r="A185" s="25">
        <v>457</v>
      </c>
      <c r="B185" s="21" t="s">
        <v>667</v>
      </c>
      <c r="C185" t="s">
        <v>519</v>
      </c>
    </row>
    <row r="186" spans="1:3" x14ac:dyDescent="0.2">
      <c r="A186" s="25">
        <v>458</v>
      </c>
      <c r="B186" s="21" t="s">
        <v>668</v>
      </c>
      <c r="C186" t="s">
        <v>519</v>
      </c>
    </row>
    <row r="187" spans="1:3" x14ac:dyDescent="0.2">
      <c r="A187" s="25">
        <v>459</v>
      </c>
      <c r="B187" s="21" t="s">
        <v>669</v>
      </c>
      <c r="C187" t="s">
        <v>519</v>
      </c>
    </row>
    <row r="188" spans="1:3" x14ac:dyDescent="0.2">
      <c r="A188" s="25">
        <v>461</v>
      </c>
      <c r="B188" s="21" t="s">
        <v>670</v>
      </c>
      <c r="C188" t="s">
        <v>519</v>
      </c>
    </row>
    <row r="189" spans="1:3" x14ac:dyDescent="0.2">
      <c r="A189" s="25">
        <v>462</v>
      </c>
      <c r="B189" s="21" t="s">
        <v>671</v>
      </c>
      <c r="C189" t="s">
        <v>519</v>
      </c>
    </row>
    <row r="190" spans="1:3" x14ac:dyDescent="0.2">
      <c r="A190" s="25">
        <v>463</v>
      </c>
      <c r="B190" s="21" t="s">
        <v>672</v>
      </c>
      <c r="C190" t="s">
        <v>519</v>
      </c>
    </row>
    <row r="191" spans="1:3" x14ac:dyDescent="0.2">
      <c r="A191" s="25">
        <v>464</v>
      </c>
      <c r="B191" s="21" t="s">
        <v>673</v>
      </c>
      <c r="C191" t="s">
        <v>519</v>
      </c>
    </row>
    <row r="192" spans="1:3" x14ac:dyDescent="0.2">
      <c r="A192" s="25">
        <v>465</v>
      </c>
      <c r="B192" s="21" t="s">
        <v>674</v>
      </c>
      <c r="C192" t="s">
        <v>519</v>
      </c>
    </row>
    <row r="193" spans="1:3" x14ac:dyDescent="0.2">
      <c r="A193" s="25">
        <v>466</v>
      </c>
      <c r="B193" s="21" t="s">
        <v>675</v>
      </c>
      <c r="C193" t="s">
        <v>519</v>
      </c>
    </row>
    <row r="194" spans="1:3" x14ac:dyDescent="0.2">
      <c r="A194" s="25">
        <v>470</v>
      </c>
      <c r="B194" s="21" t="s">
        <v>676</v>
      </c>
      <c r="C194" t="s">
        <v>519</v>
      </c>
    </row>
    <row r="195" spans="1:3" x14ac:dyDescent="0.2">
      <c r="A195" s="25">
        <v>471</v>
      </c>
      <c r="B195" s="21" t="s">
        <v>677</v>
      </c>
      <c r="C195" t="s">
        <v>519</v>
      </c>
    </row>
    <row r="196" spans="1:3" x14ac:dyDescent="0.2">
      <c r="A196" s="25">
        <v>472</v>
      </c>
      <c r="B196" s="21" t="s">
        <v>678</v>
      </c>
      <c r="C196" t="s">
        <v>519</v>
      </c>
    </row>
    <row r="197" spans="1:3" x14ac:dyDescent="0.2">
      <c r="A197" s="25">
        <v>473</v>
      </c>
      <c r="B197" s="21" t="s">
        <v>679</v>
      </c>
      <c r="C197" t="s">
        <v>519</v>
      </c>
    </row>
    <row r="198" spans="1:3" x14ac:dyDescent="0.2">
      <c r="A198" s="25">
        <v>474</v>
      </c>
      <c r="B198" s="21" t="s">
        <v>680</v>
      </c>
      <c r="C198" t="s">
        <v>519</v>
      </c>
    </row>
    <row r="199" spans="1:3" x14ac:dyDescent="0.2">
      <c r="A199" s="25">
        <v>475</v>
      </c>
      <c r="B199" s="21" t="s">
        <v>681</v>
      </c>
      <c r="C199" t="s">
        <v>519</v>
      </c>
    </row>
    <row r="200" spans="1:3" x14ac:dyDescent="0.2">
      <c r="A200" s="25">
        <v>476</v>
      </c>
      <c r="B200" s="21" t="s">
        <v>682</v>
      </c>
      <c r="C200" t="s">
        <v>519</v>
      </c>
    </row>
    <row r="201" spans="1:3" x14ac:dyDescent="0.2">
      <c r="A201" s="25">
        <v>477</v>
      </c>
      <c r="B201" s="21" t="s">
        <v>683</v>
      </c>
      <c r="C201" t="s">
        <v>519</v>
      </c>
    </row>
    <row r="202" spans="1:3" x14ac:dyDescent="0.2">
      <c r="A202" s="25">
        <v>480</v>
      </c>
      <c r="B202" s="21" t="s">
        <v>684</v>
      </c>
      <c r="C202" t="s">
        <v>519</v>
      </c>
    </row>
    <row r="203" spans="1:3" x14ac:dyDescent="0.2">
      <c r="A203" s="25">
        <v>481</v>
      </c>
      <c r="B203" s="21" t="s">
        <v>685</v>
      </c>
      <c r="C203" t="s">
        <v>519</v>
      </c>
    </row>
    <row r="204" spans="1:3" x14ac:dyDescent="0.2">
      <c r="A204" s="25">
        <v>482</v>
      </c>
      <c r="B204" s="21" t="s">
        <v>686</v>
      </c>
      <c r="C204" t="s">
        <v>519</v>
      </c>
    </row>
    <row r="205" spans="1:3" x14ac:dyDescent="0.2">
      <c r="A205" s="25">
        <v>484</v>
      </c>
      <c r="B205" s="21" t="s">
        <v>687</v>
      </c>
      <c r="C205" t="s">
        <v>519</v>
      </c>
    </row>
    <row r="206" spans="1:3" x14ac:dyDescent="0.2">
      <c r="A206" s="25">
        <v>485</v>
      </c>
      <c r="B206" s="21" t="s">
        <v>688</v>
      </c>
      <c r="C206" t="s">
        <v>519</v>
      </c>
    </row>
    <row r="207" spans="1:3" x14ac:dyDescent="0.2">
      <c r="A207" s="25">
        <v>486</v>
      </c>
      <c r="B207" s="21" t="s">
        <v>689</v>
      </c>
      <c r="C207" t="s">
        <v>519</v>
      </c>
    </row>
    <row r="208" spans="1:3" x14ac:dyDescent="0.2">
      <c r="A208" s="25">
        <v>487</v>
      </c>
      <c r="B208" s="21" t="s">
        <v>690</v>
      </c>
      <c r="C208" t="s">
        <v>519</v>
      </c>
    </row>
    <row r="209" spans="1:3" x14ac:dyDescent="0.2">
      <c r="A209" s="25">
        <v>488</v>
      </c>
      <c r="B209" s="21" t="s">
        <v>691</v>
      </c>
      <c r="C209" t="s">
        <v>519</v>
      </c>
    </row>
    <row r="210" spans="1:3" x14ac:dyDescent="0.2">
      <c r="A210" s="25">
        <v>489</v>
      </c>
      <c r="B210" s="21" t="s">
        <v>692</v>
      </c>
      <c r="C210" t="s">
        <v>519</v>
      </c>
    </row>
    <row r="211" spans="1:3" x14ac:dyDescent="0.2">
      <c r="A211" s="25">
        <v>490</v>
      </c>
      <c r="B211" s="21" t="s">
        <v>693</v>
      </c>
      <c r="C211" t="s">
        <v>519</v>
      </c>
    </row>
    <row r="212" spans="1:3" x14ac:dyDescent="0.2">
      <c r="A212" s="25">
        <v>491</v>
      </c>
      <c r="B212" s="21" t="s">
        <v>694</v>
      </c>
      <c r="C212" t="s">
        <v>519</v>
      </c>
    </row>
    <row r="213" spans="1:3" x14ac:dyDescent="0.2">
      <c r="A213" s="25">
        <v>492</v>
      </c>
      <c r="B213" s="21" t="s">
        <v>695</v>
      </c>
      <c r="C213" t="s">
        <v>504</v>
      </c>
    </row>
    <row r="214" spans="1:3" x14ac:dyDescent="0.2">
      <c r="A214" s="25">
        <v>493</v>
      </c>
      <c r="B214" s="21" t="s">
        <v>696</v>
      </c>
      <c r="C214" t="s">
        <v>504</v>
      </c>
    </row>
    <row r="215" spans="1:3" x14ac:dyDescent="0.2">
      <c r="A215" s="25">
        <v>494</v>
      </c>
      <c r="B215" s="21" t="s">
        <v>697</v>
      </c>
      <c r="C215" t="s">
        <v>504</v>
      </c>
    </row>
    <row r="216" spans="1:3" x14ac:dyDescent="0.2">
      <c r="A216" s="25">
        <v>495</v>
      </c>
      <c r="B216" s="21" t="s">
        <v>698</v>
      </c>
      <c r="C216" t="s">
        <v>504</v>
      </c>
    </row>
    <row r="217" spans="1:3" x14ac:dyDescent="0.2">
      <c r="A217" s="25">
        <v>496</v>
      </c>
      <c r="B217" s="21" t="s">
        <v>699</v>
      </c>
      <c r="C217" t="s">
        <v>519</v>
      </c>
    </row>
    <row r="218" spans="1:3" x14ac:dyDescent="0.2">
      <c r="A218" s="25">
        <v>497</v>
      </c>
      <c r="B218" s="21" t="s">
        <v>700</v>
      </c>
      <c r="C218" t="s">
        <v>519</v>
      </c>
    </row>
    <row r="219" spans="1:3" x14ac:dyDescent="0.2">
      <c r="A219" s="25">
        <v>498</v>
      </c>
      <c r="B219" s="21" t="s">
        <v>701</v>
      </c>
      <c r="C219" t="s">
        <v>519</v>
      </c>
    </row>
    <row r="220" spans="1:3" x14ac:dyDescent="0.2">
      <c r="A220" s="25">
        <v>500</v>
      </c>
      <c r="B220" s="21" t="s">
        <v>702</v>
      </c>
      <c r="C220" t="s">
        <v>504</v>
      </c>
    </row>
    <row r="221" spans="1:3" x14ac:dyDescent="0.2">
      <c r="A221" s="25">
        <v>501</v>
      </c>
      <c r="B221" s="21" t="s">
        <v>703</v>
      </c>
      <c r="C221" t="s">
        <v>504</v>
      </c>
    </row>
    <row r="222" spans="1:3" x14ac:dyDescent="0.2">
      <c r="A222" s="25">
        <v>502</v>
      </c>
      <c r="B222" s="21" t="s">
        <v>704</v>
      </c>
      <c r="C222" t="s">
        <v>504</v>
      </c>
    </row>
    <row r="223" spans="1:3" x14ac:dyDescent="0.2">
      <c r="A223" s="25">
        <v>503</v>
      </c>
      <c r="B223" s="21" t="s">
        <v>705</v>
      </c>
      <c r="C223" t="s">
        <v>504</v>
      </c>
    </row>
    <row r="224" spans="1:3" x14ac:dyDescent="0.2">
      <c r="A224" s="25">
        <v>505</v>
      </c>
      <c r="B224" s="21" t="s">
        <v>706</v>
      </c>
      <c r="C224" t="s">
        <v>504</v>
      </c>
    </row>
    <row r="225" spans="1:3" x14ac:dyDescent="0.2">
      <c r="A225" s="25">
        <v>506</v>
      </c>
      <c r="B225" s="21" t="s">
        <v>707</v>
      </c>
      <c r="C225" t="s">
        <v>504</v>
      </c>
    </row>
    <row r="226" spans="1:3" x14ac:dyDescent="0.2">
      <c r="A226" s="25">
        <v>507</v>
      </c>
      <c r="B226" s="21" t="s">
        <v>708</v>
      </c>
      <c r="C226" t="s">
        <v>504</v>
      </c>
    </row>
    <row r="227" spans="1:3" x14ac:dyDescent="0.2">
      <c r="A227" s="25">
        <v>508</v>
      </c>
      <c r="B227" s="21" t="s">
        <v>709</v>
      </c>
      <c r="C227" t="s">
        <v>504</v>
      </c>
    </row>
    <row r="228" spans="1:3" x14ac:dyDescent="0.2">
      <c r="A228" s="25">
        <v>510</v>
      </c>
      <c r="B228" s="21" t="s">
        <v>710</v>
      </c>
      <c r="C228" t="s">
        <v>504</v>
      </c>
    </row>
    <row r="229" spans="1:3" x14ac:dyDescent="0.2">
      <c r="A229" s="25">
        <v>511</v>
      </c>
      <c r="B229" s="21" t="s">
        <v>711</v>
      </c>
      <c r="C229" t="s">
        <v>504</v>
      </c>
    </row>
    <row r="230" spans="1:3" x14ac:dyDescent="0.2">
      <c r="A230" s="25">
        <v>512</v>
      </c>
      <c r="B230" s="21" t="s">
        <v>712</v>
      </c>
      <c r="C230" t="s">
        <v>504</v>
      </c>
    </row>
    <row r="231" spans="1:3" x14ac:dyDescent="0.2">
      <c r="A231" s="25">
        <v>513</v>
      </c>
      <c r="B231" s="21" t="s">
        <v>713</v>
      </c>
      <c r="C231" t="s">
        <v>504</v>
      </c>
    </row>
    <row r="232" spans="1:3" x14ac:dyDescent="0.2">
      <c r="A232" s="25">
        <v>515</v>
      </c>
      <c r="B232" s="21" t="s">
        <v>714</v>
      </c>
      <c r="C232" t="s">
        <v>504</v>
      </c>
    </row>
    <row r="233" spans="1:3" x14ac:dyDescent="0.2">
      <c r="A233" s="25">
        <v>516</v>
      </c>
      <c r="B233" s="21" t="s">
        <v>715</v>
      </c>
      <c r="C233" t="s">
        <v>504</v>
      </c>
    </row>
    <row r="234" spans="1:3" x14ac:dyDescent="0.2">
      <c r="A234" s="25">
        <v>517</v>
      </c>
      <c r="B234" s="21" t="s">
        <v>716</v>
      </c>
      <c r="C234" t="s">
        <v>504</v>
      </c>
    </row>
    <row r="235" spans="1:3" x14ac:dyDescent="0.2">
      <c r="A235" s="25">
        <v>518</v>
      </c>
      <c r="B235" s="21" t="s">
        <v>717</v>
      </c>
      <c r="C235" t="s">
        <v>504</v>
      </c>
    </row>
    <row r="236" spans="1:3" x14ac:dyDescent="0.2">
      <c r="A236" s="25">
        <v>520</v>
      </c>
      <c r="B236" s="21" t="s">
        <v>718</v>
      </c>
      <c r="C236" t="s">
        <v>504</v>
      </c>
    </row>
    <row r="237" spans="1:3" x14ac:dyDescent="0.2">
      <c r="A237" s="25">
        <v>521</v>
      </c>
      <c r="B237" s="21" t="s">
        <v>719</v>
      </c>
      <c r="C237" t="s">
        <v>504</v>
      </c>
    </row>
    <row r="238" spans="1:3" x14ac:dyDescent="0.2">
      <c r="A238" s="25">
        <v>522</v>
      </c>
      <c r="B238" s="21" t="s">
        <v>720</v>
      </c>
      <c r="C238" t="s">
        <v>504</v>
      </c>
    </row>
    <row r="239" spans="1:3" x14ac:dyDescent="0.2">
      <c r="A239" s="25">
        <v>525</v>
      </c>
      <c r="B239" s="21" t="s">
        <v>721</v>
      </c>
      <c r="C239" t="s">
        <v>504</v>
      </c>
    </row>
    <row r="240" spans="1:3" x14ac:dyDescent="0.2">
      <c r="A240" s="25">
        <v>526</v>
      </c>
      <c r="B240" s="21" t="s">
        <v>722</v>
      </c>
      <c r="C240" t="s">
        <v>504</v>
      </c>
    </row>
    <row r="241" spans="1:3" x14ac:dyDescent="0.2">
      <c r="A241" s="25">
        <v>527</v>
      </c>
      <c r="B241" s="21" t="s">
        <v>723</v>
      </c>
      <c r="C241" t="s">
        <v>504</v>
      </c>
    </row>
    <row r="242" spans="1:3" x14ac:dyDescent="0.2">
      <c r="A242" s="25">
        <v>530</v>
      </c>
      <c r="B242" s="21" t="s">
        <v>724</v>
      </c>
      <c r="C242" t="s">
        <v>504</v>
      </c>
    </row>
    <row r="243" spans="1:3" x14ac:dyDescent="0.2">
      <c r="A243" s="25">
        <v>533</v>
      </c>
      <c r="B243" s="21" t="s">
        <v>725</v>
      </c>
      <c r="C243" t="s">
        <v>486</v>
      </c>
    </row>
    <row r="244" spans="1:3" x14ac:dyDescent="0.2">
      <c r="A244" s="25">
        <v>535</v>
      </c>
      <c r="B244" s="21" t="s">
        <v>726</v>
      </c>
      <c r="C244" t="s">
        <v>504</v>
      </c>
    </row>
    <row r="245" spans="1:3" x14ac:dyDescent="0.2">
      <c r="A245" s="25">
        <v>540</v>
      </c>
      <c r="B245" s="21" t="s">
        <v>727</v>
      </c>
      <c r="C245" t="s">
        <v>504</v>
      </c>
    </row>
    <row r="246" spans="1:3" x14ac:dyDescent="0.2">
      <c r="A246" s="25">
        <v>541</v>
      </c>
      <c r="B246" s="21" t="s">
        <v>728</v>
      </c>
      <c r="C246" t="s">
        <v>504</v>
      </c>
    </row>
    <row r="247" spans="1:3" x14ac:dyDescent="0.2">
      <c r="A247" s="25">
        <v>542</v>
      </c>
      <c r="B247" s="21" t="s">
        <v>729</v>
      </c>
      <c r="C247" t="s">
        <v>504</v>
      </c>
    </row>
    <row r="248" spans="1:3" x14ac:dyDescent="0.2">
      <c r="A248" s="25">
        <v>545</v>
      </c>
      <c r="B248" s="21" t="s">
        <v>730</v>
      </c>
      <c r="C248" t="s">
        <v>504</v>
      </c>
    </row>
    <row r="249" spans="1:3" x14ac:dyDescent="0.2">
      <c r="A249" s="25">
        <v>546</v>
      </c>
      <c r="B249" s="21" t="s">
        <v>731</v>
      </c>
      <c r="C249" t="s">
        <v>504</v>
      </c>
    </row>
    <row r="250" spans="1:3" x14ac:dyDescent="0.2">
      <c r="A250" s="25">
        <v>547</v>
      </c>
      <c r="B250" s="21" t="s">
        <v>732</v>
      </c>
      <c r="C250" t="s">
        <v>504</v>
      </c>
    </row>
    <row r="251" spans="1:3" x14ac:dyDescent="0.2">
      <c r="A251" s="25">
        <v>550</v>
      </c>
      <c r="B251" s="21" t="s">
        <v>733</v>
      </c>
      <c r="C251" t="s">
        <v>504</v>
      </c>
    </row>
    <row r="252" spans="1:3" x14ac:dyDescent="0.2">
      <c r="A252" s="25">
        <v>551</v>
      </c>
      <c r="B252" s="21" t="s">
        <v>734</v>
      </c>
      <c r="C252" t="s">
        <v>504</v>
      </c>
    </row>
    <row r="253" spans="1:3" x14ac:dyDescent="0.2">
      <c r="A253" s="25">
        <v>552</v>
      </c>
      <c r="B253" s="21" t="s">
        <v>735</v>
      </c>
      <c r="C253" t="s">
        <v>504</v>
      </c>
    </row>
    <row r="254" spans="1:3" x14ac:dyDescent="0.2">
      <c r="A254" s="25">
        <v>553</v>
      </c>
      <c r="B254" s="21" t="s">
        <v>736</v>
      </c>
      <c r="C254" t="s">
        <v>504</v>
      </c>
    </row>
    <row r="255" spans="1:3" x14ac:dyDescent="0.2">
      <c r="A255" s="25">
        <v>555</v>
      </c>
      <c r="B255" s="21" t="s">
        <v>737</v>
      </c>
      <c r="C255" t="s">
        <v>504</v>
      </c>
    </row>
    <row r="256" spans="1:3" x14ac:dyDescent="0.2">
      <c r="A256" s="25">
        <v>556</v>
      </c>
      <c r="B256" s="21" t="s">
        <v>738</v>
      </c>
      <c r="C256" t="s">
        <v>504</v>
      </c>
    </row>
    <row r="257" spans="1:3" x14ac:dyDescent="0.2">
      <c r="A257" s="25">
        <v>557</v>
      </c>
      <c r="B257" s="21" t="s">
        <v>739</v>
      </c>
      <c r="C257" t="s">
        <v>504</v>
      </c>
    </row>
    <row r="258" spans="1:3" x14ac:dyDescent="0.2">
      <c r="A258" s="25">
        <v>558</v>
      </c>
      <c r="B258" s="21" t="s">
        <v>740</v>
      </c>
      <c r="C258" t="s">
        <v>504</v>
      </c>
    </row>
    <row r="259" spans="1:3" x14ac:dyDescent="0.2">
      <c r="A259" s="25">
        <v>560</v>
      </c>
      <c r="B259" s="21" t="s">
        <v>741</v>
      </c>
      <c r="C259" t="s">
        <v>504</v>
      </c>
    </row>
    <row r="260" spans="1:3" x14ac:dyDescent="0.2">
      <c r="A260" s="25">
        <v>561</v>
      </c>
      <c r="B260" s="21" t="s">
        <v>742</v>
      </c>
      <c r="C260" t="s">
        <v>504</v>
      </c>
    </row>
    <row r="261" spans="1:3" x14ac:dyDescent="0.2">
      <c r="A261" s="25">
        <v>562</v>
      </c>
      <c r="B261" s="21" t="s">
        <v>743</v>
      </c>
      <c r="C261" t="s">
        <v>504</v>
      </c>
    </row>
    <row r="262" spans="1:3" x14ac:dyDescent="0.2">
      <c r="A262" s="25">
        <v>563</v>
      </c>
      <c r="B262" s="21" t="s">
        <v>744</v>
      </c>
      <c r="C262" t="s">
        <v>504</v>
      </c>
    </row>
    <row r="263" spans="1:3" x14ac:dyDescent="0.2">
      <c r="A263" s="25">
        <v>565</v>
      </c>
      <c r="B263" s="21" t="s">
        <v>745</v>
      </c>
      <c r="C263" t="s">
        <v>504</v>
      </c>
    </row>
    <row r="264" spans="1:3" x14ac:dyDescent="0.2">
      <c r="A264" s="25">
        <v>566</v>
      </c>
      <c r="B264" s="21" t="s">
        <v>746</v>
      </c>
      <c r="C264" t="s">
        <v>504</v>
      </c>
    </row>
    <row r="265" spans="1:3" x14ac:dyDescent="0.2">
      <c r="A265" s="25">
        <v>567</v>
      </c>
      <c r="B265" s="21" t="s">
        <v>747</v>
      </c>
      <c r="C265" t="s">
        <v>504</v>
      </c>
    </row>
    <row r="266" spans="1:3" x14ac:dyDescent="0.2">
      <c r="A266" s="25">
        <v>568</v>
      </c>
      <c r="B266" s="21" t="s">
        <v>748</v>
      </c>
      <c r="C266" t="s">
        <v>504</v>
      </c>
    </row>
    <row r="267" spans="1:3" x14ac:dyDescent="0.2">
      <c r="A267" s="25">
        <v>570</v>
      </c>
      <c r="B267" s="21" t="s">
        <v>749</v>
      </c>
      <c r="C267" t="s">
        <v>504</v>
      </c>
    </row>
    <row r="268" spans="1:3" x14ac:dyDescent="0.2">
      <c r="A268" s="25">
        <v>571</v>
      </c>
      <c r="B268" s="21" t="s">
        <v>750</v>
      </c>
      <c r="C268" t="s">
        <v>504</v>
      </c>
    </row>
    <row r="269" spans="1:3" x14ac:dyDescent="0.2">
      <c r="A269" s="25">
        <v>572</v>
      </c>
      <c r="B269" s="21" t="s">
        <v>751</v>
      </c>
      <c r="C269" t="s">
        <v>504</v>
      </c>
    </row>
    <row r="270" spans="1:3" x14ac:dyDescent="0.2">
      <c r="A270" s="25">
        <v>575</v>
      </c>
      <c r="B270" s="21" t="s">
        <v>752</v>
      </c>
      <c r="C270" t="s">
        <v>504</v>
      </c>
    </row>
    <row r="271" spans="1:3" x14ac:dyDescent="0.2">
      <c r="A271" s="25">
        <v>576</v>
      </c>
      <c r="B271" s="21" t="s">
        <v>753</v>
      </c>
      <c r="C271" t="s">
        <v>504</v>
      </c>
    </row>
    <row r="272" spans="1:3" x14ac:dyDescent="0.2">
      <c r="A272" s="25">
        <v>577</v>
      </c>
      <c r="B272" s="21" t="s">
        <v>754</v>
      </c>
      <c r="C272" t="s">
        <v>504</v>
      </c>
    </row>
    <row r="273" spans="1:3" x14ac:dyDescent="0.2">
      <c r="A273" s="25">
        <v>580</v>
      </c>
      <c r="B273" s="21" t="s">
        <v>755</v>
      </c>
      <c r="C273" t="s">
        <v>504</v>
      </c>
    </row>
    <row r="274" spans="1:3" x14ac:dyDescent="0.2">
      <c r="A274" s="25">
        <v>585</v>
      </c>
      <c r="B274" s="21" t="s">
        <v>756</v>
      </c>
      <c r="C274" t="s">
        <v>504</v>
      </c>
    </row>
    <row r="275" spans="1:3" x14ac:dyDescent="0.2">
      <c r="A275" s="25">
        <v>590</v>
      </c>
      <c r="B275" s="21" t="s">
        <v>757</v>
      </c>
      <c r="C275" t="s">
        <v>504</v>
      </c>
    </row>
    <row r="276" spans="1:3" x14ac:dyDescent="0.2">
      <c r="A276" s="25">
        <v>591</v>
      </c>
      <c r="B276" s="21" t="s">
        <v>758</v>
      </c>
      <c r="C276" t="s">
        <v>504</v>
      </c>
    </row>
    <row r="277" spans="1:3" x14ac:dyDescent="0.2">
      <c r="A277" s="25">
        <v>592</v>
      </c>
      <c r="B277" s="21" t="s">
        <v>759</v>
      </c>
      <c r="C277" t="s">
        <v>504</v>
      </c>
    </row>
    <row r="278" spans="1:3" x14ac:dyDescent="0.2">
      <c r="A278" s="25">
        <v>595</v>
      </c>
      <c r="B278" s="21" t="s">
        <v>760</v>
      </c>
      <c r="C278" t="s">
        <v>504</v>
      </c>
    </row>
    <row r="279" spans="1:3" x14ac:dyDescent="0.2">
      <c r="A279" s="25">
        <v>596</v>
      </c>
      <c r="B279" s="21" t="s">
        <v>761</v>
      </c>
      <c r="C279" t="s">
        <v>504</v>
      </c>
    </row>
    <row r="280" spans="1:3" x14ac:dyDescent="0.2">
      <c r="A280" s="25">
        <v>597</v>
      </c>
      <c r="B280" s="21" t="s">
        <v>762</v>
      </c>
      <c r="C280" t="s">
        <v>504</v>
      </c>
    </row>
    <row r="281" spans="1:3" x14ac:dyDescent="0.2">
      <c r="A281" s="25">
        <v>600</v>
      </c>
      <c r="B281" s="21" t="s">
        <v>763</v>
      </c>
      <c r="C281" t="s">
        <v>486</v>
      </c>
    </row>
    <row r="282" spans="1:3" x14ac:dyDescent="0.2">
      <c r="A282" s="25">
        <v>601</v>
      </c>
      <c r="B282" s="21" t="s">
        <v>764</v>
      </c>
      <c r="C282" t="s">
        <v>486</v>
      </c>
    </row>
    <row r="283" spans="1:3" x14ac:dyDescent="0.2">
      <c r="A283" s="25">
        <v>602</v>
      </c>
      <c r="B283" s="21" t="s">
        <v>765</v>
      </c>
      <c r="C283" t="s">
        <v>486</v>
      </c>
    </row>
    <row r="284" spans="1:3" x14ac:dyDescent="0.2">
      <c r="A284" s="25">
        <v>603</v>
      </c>
      <c r="B284" s="21" t="s">
        <v>766</v>
      </c>
      <c r="C284" t="s">
        <v>486</v>
      </c>
    </row>
    <row r="285" spans="1:3" x14ac:dyDescent="0.2">
      <c r="A285" s="25">
        <v>604</v>
      </c>
      <c r="B285" s="21" t="s">
        <v>767</v>
      </c>
      <c r="C285" t="s">
        <v>486</v>
      </c>
    </row>
    <row r="286" spans="1:3" x14ac:dyDescent="0.2">
      <c r="A286" s="25">
        <v>605</v>
      </c>
      <c r="B286" s="21" t="s">
        <v>768</v>
      </c>
      <c r="C286" t="s">
        <v>486</v>
      </c>
    </row>
    <row r="287" spans="1:3" x14ac:dyDescent="0.2">
      <c r="A287" s="25">
        <v>606</v>
      </c>
      <c r="B287" s="21" t="s">
        <v>769</v>
      </c>
      <c r="C287" t="s">
        <v>486</v>
      </c>
    </row>
    <row r="288" spans="1:3" x14ac:dyDescent="0.2">
      <c r="A288" s="25">
        <v>607</v>
      </c>
      <c r="B288" s="21" t="s">
        <v>770</v>
      </c>
      <c r="C288" t="s">
        <v>486</v>
      </c>
    </row>
    <row r="289" spans="1:3" x14ac:dyDescent="0.2">
      <c r="A289" s="25">
        <v>608</v>
      </c>
      <c r="B289" s="21" t="s">
        <v>771</v>
      </c>
      <c r="C289" t="s">
        <v>486</v>
      </c>
    </row>
    <row r="290" spans="1:3" x14ac:dyDescent="0.2">
      <c r="A290" s="25">
        <v>609</v>
      </c>
      <c r="B290" s="21" t="s">
        <v>772</v>
      </c>
      <c r="C290" t="s">
        <v>486</v>
      </c>
    </row>
    <row r="291" spans="1:3" x14ac:dyDescent="0.2">
      <c r="A291" s="25">
        <v>610</v>
      </c>
      <c r="B291" s="21" t="s">
        <v>773</v>
      </c>
      <c r="C291" t="s">
        <v>486</v>
      </c>
    </row>
    <row r="292" spans="1:3" x14ac:dyDescent="0.2">
      <c r="A292" s="25">
        <v>611</v>
      </c>
      <c r="B292" s="21" t="s">
        <v>774</v>
      </c>
      <c r="C292" t="s">
        <v>486</v>
      </c>
    </row>
    <row r="293" spans="1:3" x14ac:dyDescent="0.2">
      <c r="A293" s="25">
        <v>612</v>
      </c>
      <c r="B293" s="21" t="s">
        <v>775</v>
      </c>
      <c r="C293" t="s">
        <v>486</v>
      </c>
    </row>
    <row r="294" spans="1:3" x14ac:dyDescent="0.2">
      <c r="A294" s="25">
        <v>613</v>
      </c>
      <c r="B294" s="21" t="s">
        <v>776</v>
      </c>
      <c r="C294" t="s">
        <v>486</v>
      </c>
    </row>
    <row r="295" spans="1:3" x14ac:dyDescent="0.2">
      <c r="A295" s="25">
        <v>614</v>
      </c>
      <c r="B295" s="21" t="s">
        <v>777</v>
      </c>
      <c r="C295" t="s">
        <v>486</v>
      </c>
    </row>
    <row r="296" spans="1:3" x14ac:dyDescent="0.2">
      <c r="A296" s="25">
        <v>650</v>
      </c>
      <c r="B296" s="21" t="s">
        <v>778</v>
      </c>
      <c r="C296" t="s">
        <v>486</v>
      </c>
    </row>
    <row r="297" spans="1:3" x14ac:dyDescent="0.2">
      <c r="A297" s="25">
        <v>651</v>
      </c>
      <c r="B297" s="21" t="s">
        <v>779</v>
      </c>
      <c r="C297" t="s">
        <v>486</v>
      </c>
    </row>
    <row r="298" spans="1:3" x14ac:dyDescent="0.2">
      <c r="A298" s="25">
        <v>652</v>
      </c>
      <c r="B298" s="21" t="s">
        <v>780</v>
      </c>
      <c r="C298" t="s">
        <v>486</v>
      </c>
    </row>
    <row r="299" spans="1:3" x14ac:dyDescent="0.2">
      <c r="A299" s="25">
        <v>653</v>
      </c>
      <c r="B299" s="21" t="s">
        <v>781</v>
      </c>
      <c r="C299" t="s">
        <v>486</v>
      </c>
    </row>
    <row r="300" spans="1:3" x14ac:dyDescent="0.2">
      <c r="A300" s="25">
        <v>654</v>
      </c>
      <c r="B300" s="21" t="s">
        <v>782</v>
      </c>
      <c r="C300" t="s">
        <v>486</v>
      </c>
    </row>
    <row r="301" spans="1:3" x14ac:dyDescent="0.2">
      <c r="A301" s="25">
        <v>655</v>
      </c>
      <c r="B301" s="21" t="s">
        <v>783</v>
      </c>
      <c r="C301" t="s">
        <v>486</v>
      </c>
    </row>
    <row r="302" spans="1:3" x14ac:dyDescent="0.2">
      <c r="A302" s="25">
        <v>656</v>
      </c>
      <c r="B302" s="21" t="s">
        <v>784</v>
      </c>
      <c r="C302" t="s">
        <v>486</v>
      </c>
    </row>
    <row r="303" spans="1:3" x14ac:dyDescent="0.2">
      <c r="A303" s="25">
        <v>657</v>
      </c>
      <c r="B303" s="21" t="s">
        <v>785</v>
      </c>
      <c r="C303" t="s">
        <v>486</v>
      </c>
    </row>
    <row r="304" spans="1:3" x14ac:dyDescent="0.2">
      <c r="A304" s="25">
        <v>658</v>
      </c>
      <c r="B304" s="21" t="s">
        <v>786</v>
      </c>
      <c r="C304" t="s">
        <v>486</v>
      </c>
    </row>
    <row r="305" spans="1:3" x14ac:dyDescent="0.2">
      <c r="A305" s="25">
        <v>659</v>
      </c>
      <c r="B305" s="21" t="s">
        <v>787</v>
      </c>
      <c r="C305" t="s">
        <v>486</v>
      </c>
    </row>
    <row r="306" spans="1:3" x14ac:dyDescent="0.2">
      <c r="A306" s="25">
        <v>660</v>
      </c>
      <c r="B306" s="21" t="s">
        <v>788</v>
      </c>
      <c r="C306" t="s">
        <v>486</v>
      </c>
    </row>
    <row r="307" spans="1:3" x14ac:dyDescent="0.2">
      <c r="A307" s="25">
        <v>661</v>
      </c>
      <c r="B307" s="21" t="s">
        <v>789</v>
      </c>
      <c r="C307" t="s">
        <v>486</v>
      </c>
    </row>
    <row r="308" spans="1:3" x14ac:dyDescent="0.2">
      <c r="A308" s="25">
        <v>662</v>
      </c>
      <c r="B308" s="21" t="s">
        <v>790</v>
      </c>
      <c r="C308" t="s">
        <v>486</v>
      </c>
    </row>
    <row r="309" spans="1:3" x14ac:dyDescent="0.2">
      <c r="A309" s="25">
        <v>663</v>
      </c>
      <c r="B309" s="21" t="s">
        <v>791</v>
      </c>
      <c r="C309" t="s">
        <v>486</v>
      </c>
    </row>
    <row r="310" spans="1:3" x14ac:dyDescent="0.2">
      <c r="A310" s="25">
        <v>664</v>
      </c>
      <c r="B310" s="21" t="s">
        <v>792</v>
      </c>
      <c r="C310" t="s">
        <v>486</v>
      </c>
    </row>
    <row r="311" spans="1:3" x14ac:dyDescent="0.2">
      <c r="A311" s="25">
        <v>698</v>
      </c>
      <c r="B311" s="21" t="s">
        <v>793</v>
      </c>
      <c r="C311" t="s">
        <v>486</v>
      </c>
    </row>
    <row r="312" spans="1:3" x14ac:dyDescent="0.2">
      <c r="A312" s="25">
        <v>699</v>
      </c>
      <c r="B312" s="21" t="s">
        <v>794</v>
      </c>
      <c r="C312" t="s">
        <v>486</v>
      </c>
    </row>
    <row r="313" spans="1:3" x14ac:dyDescent="0.2">
      <c r="A313" s="25">
        <v>701</v>
      </c>
      <c r="B313" s="21" t="s">
        <v>795</v>
      </c>
      <c r="C313" t="s">
        <v>519</v>
      </c>
    </row>
    <row r="314" spans="1:3" x14ac:dyDescent="0.2">
      <c r="A314" s="25">
        <v>702</v>
      </c>
      <c r="B314" s="21" t="s">
        <v>796</v>
      </c>
      <c r="C314" t="s">
        <v>519</v>
      </c>
    </row>
    <row r="315" spans="1:3" x14ac:dyDescent="0.2">
      <c r="A315" s="25">
        <v>703</v>
      </c>
      <c r="B315" s="21" t="s">
        <v>797</v>
      </c>
      <c r="C315" t="s">
        <v>519</v>
      </c>
    </row>
    <row r="316" spans="1:3" x14ac:dyDescent="0.2">
      <c r="A316" s="25">
        <v>704</v>
      </c>
      <c r="B316" s="21" t="s">
        <v>798</v>
      </c>
      <c r="C316" t="s">
        <v>519</v>
      </c>
    </row>
    <row r="317" spans="1:3" x14ac:dyDescent="0.2">
      <c r="A317" s="25">
        <v>705</v>
      </c>
      <c r="B317" s="21" t="s">
        <v>799</v>
      </c>
      <c r="C317" t="s">
        <v>519</v>
      </c>
    </row>
    <row r="318" spans="1:3" x14ac:dyDescent="0.2">
      <c r="A318" s="25">
        <v>706</v>
      </c>
      <c r="B318" s="21" t="s">
        <v>800</v>
      </c>
      <c r="C318" t="s">
        <v>519</v>
      </c>
    </row>
    <row r="319" spans="1:3" x14ac:dyDescent="0.2">
      <c r="A319" s="25">
        <v>707</v>
      </c>
      <c r="B319" s="21" t="s">
        <v>801</v>
      </c>
      <c r="C319" t="s">
        <v>519</v>
      </c>
    </row>
    <row r="320" spans="1:3" x14ac:dyDescent="0.2">
      <c r="A320" s="25">
        <v>708</v>
      </c>
      <c r="B320" s="21" t="s">
        <v>802</v>
      </c>
      <c r="C320" t="s">
        <v>519</v>
      </c>
    </row>
    <row r="321" spans="1:3" x14ac:dyDescent="0.2">
      <c r="A321" s="25">
        <v>709</v>
      </c>
      <c r="B321" s="21" t="s">
        <v>803</v>
      </c>
      <c r="C321" t="s">
        <v>519</v>
      </c>
    </row>
    <row r="322" spans="1:3" x14ac:dyDescent="0.2">
      <c r="A322" s="25">
        <v>710</v>
      </c>
      <c r="B322" s="21" t="s">
        <v>804</v>
      </c>
      <c r="C322" t="s">
        <v>519</v>
      </c>
    </row>
    <row r="323" spans="1:3" x14ac:dyDescent="0.2">
      <c r="A323" s="25">
        <v>711</v>
      </c>
      <c r="B323" s="21" t="s">
        <v>805</v>
      </c>
      <c r="C323" t="s">
        <v>519</v>
      </c>
    </row>
    <row r="324" spans="1:3" x14ac:dyDescent="0.2">
      <c r="A324" s="25">
        <v>712</v>
      </c>
      <c r="B324" s="21" t="s">
        <v>806</v>
      </c>
      <c r="C324" t="s">
        <v>519</v>
      </c>
    </row>
    <row r="325" spans="1:3" x14ac:dyDescent="0.2">
      <c r="A325" s="25">
        <v>713</v>
      </c>
      <c r="B325" s="21" t="s">
        <v>807</v>
      </c>
      <c r="C325" t="s">
        <v>519</v>
      </c>
    </row>
    <row r="326" spans="1:3" x14ac:dyDescent="0.2">
      <c r="A326" s="25">
        <v>714</v>
      </c>
      <c r="B326" s="21" t="s">
        <v>808</v>
      </c>
      <c r="C326" t="s">
        <v>519</v>
      </c>
    </row>
    <row r="327" spans="1:3" x14ac:dyDescent="0.2">
      <c r="A327" s="25">
        <v>715</v>
      </c>
      <c r="B327" s="21" t="s">
        <v>809</v>
      </c>
      <c r="C327" t="s">
        <v>519</v>
      </c>
    </row>
    <row r="328" spans="1:3" x14ac:dyDescent="0.2">
      <c r="A328" s="25">
        <v>716</v>
      </c>
      <c r="B328" s="21" t="s">
        <v>810</v>
      </c>
      <c r="C328" t="s">
        <v>519</v>
      </c>
    </row>
    <row r="329" spans="1:3" x14ac:dyDescent="0.2">
      <c r="A329" s="25">
        <v>717</v>
      </c>
      <c r="B329" s="21" t="s">
        <v>811</v>
      </c>
      <c r="C329" t="s">
        <v>519</v>
      </c>
    </row>
    <row r="330" spans="1:3" x14ac:dyDescent="0.2">
      <c r="A330" s="25">
        <v>718</v>
      </c>
      <c r="B330" s="21" t="s">
        <v>812</v>
      </c>
      <c r="C330" t="s">
        <v>519</v>
      </c>
    </row>
    <row r="331" spans="1:3" x14ac:dyDescent="0.2">
      <c r="A331" s="25">
        <v>719</v>
      </c>
      <c r="B331" s="21" t="s">
        <v>813</v>
      </c>
      <c r="C331" t="s">
        <v>519</v>
      </c>
    </row>
    <row r="332" spans="1:3" x14ac:dyDescent="0.2">
      <c r="A332" s="25">
        <v>720</v>
      </c>
      <c r="B332" s="21" t="s">
        <v>814</v>
      </c>
      <c r="C332" t="s">
        <v>519</v>
      </c>
    </row>
    <row r="333" spans="1:3" x14ac:dyDescent="0.2">
      <c r="A333" s="25">
        <v>721</v>
      </c>
      <c r="B333" s="21" t="s">
        <v>815</v>
      </c>
      <c r="C333" t="s">
        <v>519</v>
      </c>
    </row>
    <row r="334" spans="1:3" x14ac:dyDescent="0.2">
      <c r="A334" s="25">
        <v>722</v>
      </c>
      <c r="B334" s="21" t="s">
        <v>816</v>
      </c>
      <c r="C334" t="s">
        <v>519</v>
      </c>
    </row>
    <row r="335" spans="1:3" x14ac:dyDescent="0.2">
      <c r="A335" s="25">
        <v>723</v>
      </c>
      <c r="B335" s="21" t="s">
        <v>817</v>
      </c>
      <c r="C335" t="s">
        <v>519</v>
      </c>
    </row>
    <row r="336" spans="1:3" x14ac:dyDescent="0.2">
      <c r="A336" s="25">
        <v>724</v>
      </c>
      <c r="B336" s="21" t="s">
        <v>818</v>
      </c>
      <c r="C336" t="s">
        <v>519</v>
      </c>
    </row>
    <row r="337" spans="1:3" x14ac:dyDescent="0.2">
      <c r="A337" s="25">
        <v>725</v>
      </c>
      <c r="B337" s="21" t="s">
        <v>819</v>
      </c>
      <c r="C337" t="s">
        <v>519</v>
      </c>
    </row>
    <row r="338" spans="1:3" x14ac:dyDescent="0.2">
      <c r="A338" s="25">
        <v>726</v>
      </c>
      <c r="B338" s="21" t="s">
        <v>820</v>
      </c>
      <c r="C338" t="s">
        <v>519</v>
      </c>
    </row>
    <row r="339" spans="1:3" x14ac:dyDescent="0.2">
      <c r="A339" s="25">
        <v>727</v>
      </c>
      <c r="B339" s="21" t="s">
        <v>821</v>
      </c>
      <c r="C339" t="s">
        <v>519</v>
      </c>
    </row>
    <row r="340" spans="1:3" x14ac:dyDescent="0.2">
      <c r="A340" s="25">
        <v>728</v>
      </c>
      <c r="B340" s="21" t="s">
        <v>822</v>
      </c>
      <c r="C340" t="s">
        <v>519</v>
      </c>
    </row>
    <row r="341" spans="1:3" x14ac:dyDescent="0.2">
      <c r="A341" s="25">
        <v>731</v>
      </c>
      <c r="B341" s="21" t="s">
        <v>823</v>
      </c>
      <c r="C341" t="s">
        <v>519</v>
      </c>
    </row>
    <row r="342" spans="1:3" x14ac:dyDescent="0.2">
      <c r="A342" s="25">
        <v>732</v>
      </c>
      <c r="B342" s="21" t="s">
        <v>824</v>
      </c>
      <c r="C342" t="s">
        <v>519</v>
      </c>
    </row>
    <row r="343" spans="1:3" x14ac:dyDescent="0.2">
      <c r="A343" s="25">
        <v>733</v>
      </c>
      <c r="B343" s="21" t="s">
        <v>825</v>
      </c>
      <c r="C343" t="s">
        <v>519</v>
      </c>
    </row>
    <row r="344" spans="1:3" x14ac:dyDescent="0.2">
      <c r="A344" s="25">
        <v>734</v>
      </c>
      <c r="B344" s="21" t="s">
        <v>826</v>
      </c>
      <c r="C344" t="s">
        <v>519</v>
      </c>
    </row>
    <row r="345" spans="1:3" x14ac:dyDescent="0.2">
      <c r="A345" s="25">
        <v>735</v>
      </c>
      <c r="B345" s="21" t="s">
        <v>827</v>
      </c>
      <c r="C345" t="s">
        <v>519</v>
      </c>
    </row>
    <row r="346" spans="1:3" x14ac:dyDescent="0.2">
      <c r="A346" s="25">
        <v>736</v>
      </c>
      <c r="B346" s="21" t="s">
        <v>828</v>
      </c>
      <c r="C346" t="s">
        <v>519</v>
      </c>
    </row>
    <row r="347" spans="1:3" x14ac:dyDescent="0.2">
      <c r="A347" s="25">
        <v>737</v>
      </c>
      <c r="B347" s="21" t="s">
        <v>829</v>
      </c>
      <c r="C347" t="s">
        <v>519</v>
      </c>
    </row>
    <row r="348" spans="1:3" x14ac:dyDescent="0.2">
      <c r="A348" s="25">
        <v>738</v>
      </c>
      <c r="B348" s="21" t="s">
        <v>830</v>
      </c>
      <c r="C348" t="s">
        <v>519</v>
      </c>
    </row>
    <row r="349" spans="1:3" x14ac:dyDescent="0.2">
      <c r="A349" s="25">
        <v>739</v>
      </c>
      <c r="B349" s="21" t="s">
        <v>831</v>
      </c>
      <c r="C349" t="s">
        <v>519</v>
      </c>
    </row>
    <row r="350" spans="1:3" x14ac:dyDescent="0.2">
      <c r="A350" s="25">
        <v>740</v>
      </c>
      <c r="B350" s="21" t="s">
        <v>832</v>
      </c>
      <c r="C350" t="s">
        <v>519</v>
      </c>
    </row>
    <row r="351" spans="1:3" x14ac:dyDescent="0.2">
      <c r="A351" s="25">
        <v>741</v>
      </c>
      <c r="B351" s="21" t="s">
        <v>833</v>
      </c>
      <c r="C351" t="s">
        <v>519</v>
      </c>
    </row>
    <row r="352" spans="1:3" x14ac:dyDescent="0.2">
      <c r="A352" s="25">
        <v>742</v>
      </c>
      <c r="B352" s="21" t="s">
        <v>834</v>
      </c>
      <c r="C352" t="s">
        <v>519</v>
      </c>
    </row>
    <row r="353" spans="1:3" x14ac:dyDescent="0.2">
      <c r="A353" s="25">
        <v>743</v>
      </c>
      <c r="B353" s="21" t="s">
        <v>835</v>
      </c>
      <c r="C353" t="s">
        <v>519</v>
      </c>
    </row>
    <row r="354" spans="1:3" x14ac:dyDescent="0.2">
      <c r="A354" s="25">
        <v>744</v>
      </c>
      <c r="B354" s="21" t="s">
        <v>836</v>
      </c>
      <c r="C354" t="s">
        <v>519</v>
      </c>
    </row>
    <row r="355" spans="1:3" x14ac:dyDescent="0.2">
      <c r="A355" s="25">
        <v>745</v>
      </c>
      <c r="B355" s="21" t="s">
        <v>837</v>
      </c>
      <c r="C355" t="s">
        <v>519</v>
      </c>
    </row>
    <row r="356" spans="1:3" x14ac:dyDescent="0.2">
      <c r="A356" s="25">
        <v>746</v>
      </c>
      <c r="B356" s="21" t="s">
        <v>838</v>
      </c>
      <c r="C356" t="s">
        <v>519</v>
      </c>
    </row>
    <row r="357" spans="1:3" x14ac:dyDescent="0.2">
      <c r="A357" s="25">
        <v>747</v>
      </c>
      <c r="B357" s="21" t="s">
        <v>839</v>
      </c>
      <c r="C357" t="s">
        <v>519</v>
      </c>
    </row>
    <row r="358" spans="1:3" x14ac:dyDescent="0.2">
      <c r="A358" s="25">
        <v>748</v>
      </c>
      <c r="B358" s="21" t="s">
        <v>840</v>
      </c>
      <c r="C358" t="s">
        <v>519</v>
      </c>
    </row>
    <row r="359" spans="1:3" x14ac:dyDescent="0.2">
      <c r="A359" s="25">
        <v>749</v>
      </c>
      <c r="B359" s="21" t="s">
        <v>841</v>
      </c>
      <c r="C359" t="s">
        <v>519</v>
      </c>
    </row>
    <row r="360" spans="1:3" x14ac:dyDescent="0.2">
      <c r="A360" s="25">
        <v>750</v>
      </c>
      <c r="B360" s="21" t="s">
        <v>842</v>
      </c>
      <c r="C360" t="s">
        <v>519</v>
      </c>
    </row>
    <row r="361" spans="1:3" x14ac:dyDescent="0.2">
      <c r="A361" s="25">
        <v>751</v>
      </c>
      <c r="B361" s="21" t="s">
        <v>843</v>
      </c>
      <c r="C361" t="s">
        <v>519</v>
      </c>
    </row>
    <row r="362" spans="1:3" x14ac:dyDescent="0.2">
      <c r="A362" s="25">
        <v>752</v>
      </c>
      <c r="B362" s="21" t="s">
        <v>844</v>
      </c>
      <c r="C362" t="s">
        <v>519</v>
      </c>
    </row>
    <row r="363" spans="1:3" x14ac:dyDescent="0.2">
      <c r="A363" s="25">
        <v>753</v>
      </c>
      <c r="B363" s="21" t="s">
        <v>845</v>
      </c>
      <c r="C363" t="s">
        <v>519</v>
      </c>
    </row>
    <row r="364" spans="1:3" x14ac:dyDescent="0.2">
      <c r="A364" s="25">
        <v>754</v>
      </c>
      <c r="B364" s="21" t="s">
        <v>846</v>
      </c>
      <c r="C364" t="s">
        <v>519</v>
      </c>
    </row>
    <row r="365" spans="1:3" x14ac:dyDescent="0.2">
      <c r="A365" s="25">
        <v>760</v>
      </c>
      <c r="B365" s="21" t="s">
        <v>847</v>
      </c>
      <c r="C365" t="s">
        <v>486</v>
      </c>
    </row>
    <row r="366" spans="1:3" x14ac:dyDescent="0.2">
      <c r="A366" s="25">
        <v>801</v>
      </c>
      <c r="B366" s="21" t="s">
        <v>848</v>
      </c>
      <c r="C366" t="s">
        <v>849</v>
      </c>
    </row>
    <row r="367" spans="1:3" x14ac:dyDescent="0.2">
      <c r="A367" s="25">
        <v>802</v>
      </c>
      <c r="B367" s="21" t="s">
        <v>850</v>
      </c>
      <c r="C367" t="s">
        <v>849</v>
      </c>
    </row>
    <row r="368" spans="1:3" x14ac:dyDescent="0.2">
      <c r="A368" s="25">
        <v>803</v>
      </c>
      <c r="B368" s="21" t="s">
        <v>851</v>
      </c>
      <c r="C368" t="s">
        <v>849</v>
      </c>
    </row>
    <row r="369" spans="1:3" x14ac:dyDescent="0.2">
      <c r="A369" s="25">
        <v>804</v>
      </c>
      <c r="B369" s="21" t="s">
        <v>852</v>
      </c>
      <c r="C369" t="s">
        <v>849</v>
      </c>
    </row>
    <row r="370" spans="1:3" x14ac:dyDescent="0.2">
      <c r="A370" s="25">
        <v>805</v>
      </c>
      <c r="B370" s="21" t="s">
        <v>853</v>
      </c>
      <c r="C370" t="s">
        <v>849</v>
      </c>
    </row>
    <row r="371" spans="1:3" x14ac:dyDescent="0.2">
      <c r="A371" s="25">
        <v>806</v>
      </c>
      <c r="B371" s="21" t="s">
        <v>854</v>
      </c>
      <c r="C371" t="s">
        <v>849</v>
      </c>
    </row>
    <row r="372" spans="1:3" x14ac:dyDescent="0.2">
      <c r="A372" s="25">
        <v>807</v>
      </c>
      <c r="B372" s="21" t="s">
        <v>855</v>
      </c>
      <c r="C372" t="s">
        <v>849</v>
      </c>
    </row>
    <row r="373" spans="1:3" x14ac:dyDescent="0.2">
      <c r="A373" s="25">
        <v>808</v>
      </c>
      <c r="B373" s="21" t="s">
        <v>856</v>
      </c>
      <c r="C373" t="s">
        <v>849</v>
      </c>
    </row>
    <row r="374" spans="1:3" x14ac:dyDescent="0.2">
      <c r="A374" s="25">
        <v>809</v>
      </c>
      <c r="B374" s="21" t="s">
        <v>857</v>
      </c>
      <c r="C374" t="s">
        <v>849</v>
      </c>
    </row>
    <row r="375" spans="1:3" x14ac:dyDescent="0.2">
      <c r="A375" s="25">
        <v>810</v>
      </c>
      <c r="B375" s="21" t="s">
        <v>858</v>
      </c>
      <c r="C375" t="s">
        <v>849</v>
      </c>
    </row>
    <row r="376" spans="1:3" x14ac:dyDescent="0.2">
      <c r="A376" s="25">
        <v>811</v>
      </c>
      <c r="B376" s="21" t="s">
        <v>859</v>
      </c>
      <c r="C376" t="s">
        <v>849</v>
      </c>
    </row>
    <row r="377" spans="1:3" x14ac:dyDescent="0.2">
      <c r="A377" s="25">
        <v>812</v>
      </c>
      <c r="B377" s="21" t="s">
        <v>860</v>
      </c>
      <c r="C377" t="s">
        <v>849</v>
      </c>
    </row>
    <row r="378" spans="1:3" x14ac:dyDescent="0.2">
      <c r="A378" s="25">
        <v>813</v>
      </c>
      <c r="B378" s="21" t="s">
        <v>861</v>
      </c>
      <c r="C378" t="s">
        <v>849</v>
      </c>
    </row>
    <row r="379" spans="1:3" x14ac:dyDescent="0.2">
      <c r="A379" s="25">
        <v>814</v>
      </c>
      <c r="B379" s="21" t="s">
        <v>862</v>
      </c>
      <c r="C379" t="s">
        <v>849</v>
      </c>
    </row>
    <row r="380" spans="1:3" x14ac:dyDescent="0.2">
      <c r="A380" s="25">
        <v>815</v>
      </c>
      <c r="B380" s="21" t="s">
        <v>863</v>
      </c>
      <c r="C380" t="s">
        <v>849</v>
      </c>
    </row>
    <row r="381" spans="1:3" x14ac:dyDescent="0.2">
      <c r="A381" s="25">
        <v>816</v>
      </c>
      <c r="B381" s="21" t="s">
        <v>864</v>
      </c>
      <c r="C381" t="s">
        <v>849</v>
      </c>
    </row>
    <row r="382" spans="1:3" x14ac:dyDescent="0.2">
      <c r="A382" s="25">
        <v>817</v>
      </c>
      <c r="B382" s="21" t="s">
        <v>865</v>
      </c>
      <c r="C382" t="s">
        <v>849</v>
      </c>
    </row>
    <row r="383" spans="1:3" x14ac:dyDescent="0.2">
      <c r="A383" s="25">
        <v>818</v>
      </c>
      <c r="B383" s="21" t="s">
        <v>866</v>
      </c>
      <c r="C383" t="s">
        <v>849</v>
      </c>
    </row>
    <row r="384" spans="1:3" x14ac:dyDescent="0.2">
      <c r="A384" s="25">
        <v>819</v>
      </c>
      <c r="B384" s="21" t="s">
        <v>867</v>
      </c>
      <c r="C384" t="s">
        <v>849</v>
      </c>
    </row>
    <row r="385" spans="1:3" x14ac:dyDescent="0.2">
      <c r="A385" s="25">
        <v>820</v>
      </c>
      <c r="B385" s="21" t="s">
        <v>868</v>
      </c>
      <c r="C385" t="s">
        <v>849</v>
      </c>
    </row>
    <row r="386" spans="1:3" x14ac:dyDescent="0.2">
      <c r="A386" s="25">
        <v>821</v>
      </c>
      <c r="B386" s="21" t="s">
        <v>869</v>
      </c>
      <c r="C386" t="s">
        <v>849</v>
      </c>
    </row>
    <row r="387" spans="1:3" x14ac:dyDescent="0.2">
      <c r="A387" s="25">
        <v>822</v>
      </c>
      <c r="B387" s="21" t="s">
        <v>870</v>
      </c>
      <c r="C387" t="s">
        <v>849</v>
      </c>
    </row>
    <row r="388" spans="1:3" x14ac:dyDescent="0.2">
      <c r="A388" s="25">
        <v>823</v>
      </c>
      <c r="B388" s="21" t="s">
        <v>871</v>
      </c>
      <c r="C388" t="s">
        <v>849</v>
      </c>
    </row>
    <row r="389" spans="1:3" x14ac:dyDescent="0.2">
      <c r="A389" s="25">
        <v>824</v>
      </c>
      <c r="B389" s="21" t="s">
        <v>872</v>
      </c>
      <c r="C389" t="s">
        <v>849</v>
      </c>
    </row>
    <row r="390" spans="1:3" x14ac:dyDescent="0.2">
      <c r="A390" s="25">
        <v>825</v>
      </c>
      <c r="B390" s="21" t="s">
        <v>873</v>
      </c>
      <c r="C390" t="s">
        <v>519</v>
      </c>
    </row>
    <row r="391" spans="1:3" x14ac:dyDescent="0.2">
      <c r="A391" s="25">
        <v>826</v>
      </c>
      <c r="B391" s="21" t="s">
        <v>874</v>
      </c>
      <c r="C391" t="s">
        <v>519</v>
      </c>
    </row>
    <row r="392" spans="1:3" x14ac:dyDescent="0.2">
      <c r="A392" s="25">
        <v>827</v>
      </c>
      <c r="B392" s="21" t="s">
        <v>875</v>
      </c>
      <c r="C392" t="s">
        <v>519</v>
      </c>
    </row>
    <row r="393" spans="1:3" x14ac:dyDescent="0.2">
      <c r="A393" s="25">
        <v>828</v>
      </c>
      <c r="B393" s="21" t="s">
        <v>876</v>
      </c>
      <c r="C393" t="s">
        <v>519</v>
      </c>
    </row>
    <row r="394" spans="1:3" x14ac:dyDescent="0.2">
      <c r="A394" s="25">
        <v>831</v>
      </c>
      <c r="B394" s="21" t="s">
        <v>877</v>
      </c>
      <c r="C394" t="s">
        <v>486</v>
      </c>
    </row>
    <row r="395" spans="1:3" x14ac:dyDescent="0.2">
      <c r="A395" s="25">
        <v>832</v>
      </c>
      <c r="B395" s="21" t="s">
        <v>878</v>
      </c>
      <c r="C395" t="s">
        <v>486</v>
      </c>
    </row>
    <row r="396" spans="1:3" x14ac:dyDescent="0.2">
      <c r="A396" s="25">
        <v>833</v>
      </c>
      <c r="B396" s="21" t="s">
        <v>879</v>
      </c>
      <c r="C396" t="s">
        <v>486</v>
      </c>
    </row>
    <row r="397" spans="1:3" x14ac:dyDescent="0.2">
      <c r="A397" s="25">
        <v>834</v>
      </c>
      <c r="B397" s="21" t="s">
        <v>880</v>
      </c>
      <c r="C397" t="s">
        <v>486</v>
      </c>
    </row>
    <row r="398" spans="1:3" x14ac:dyDescent="0.2">
      <c r="A398" s="25">
        <v>835</v>
      </c>
      <c r="B398" s="21" t="s">
        <v>881</v>
      </c>
      <c r="C398" t="s">
        <v>486</v>
      </c>
    </row>
    <row r="399" spans="1:3" x14ac:dyDescent="0.2">
      <c r="A399" s="25">
        <v>836</v>
      </c>
      <c r="B399" s="21" t="s">
        <v>882</v>
      </c>
      <c r="C399" t="s">
        <v>486</v>
      </c>
    </row>
    <row r="400" spans="1:3" x14ac:dyDescent="0.2">
      <c r="A400" s="25">
        <v>837</v>
      </c>
      <c r="B400" s="21" t="s">
        <v>883</v>
      </c>
      <c r="C400" t="s">
        <v>486</v>
      </c>
    </row>
    <row r="401" spans="1:3" x14ac:dyDescent="0.2">
      <c r="A401" s="25">
        <v>838</v>
      </c>
      <c r="B401" s="21" t="s">
        <v>884</v>
      </c>
      <c r="C401" t="s">
        <v>486</v>
      </c>
    </row>
    <row r="402" spans="1:3" x14ac:dyDescent="0.2">
      <c r="A402" s="25">
        <v>839</v>
      </c>
      <c r="B402" s="21" t="s">
        <v>885</v>
      </c>
      <c r="C402" t="s">
        <v>486</v>
      </c>
    </row>
    <row r="403" spans="1:3" x14ac:dyDescent="0.2">
      <c r="A403" s="25">
        <v>840</v>
      </c>
      <c r="B403" s="21" t="s">
        <v>886</v>
      </c>
      <c r="C403" t="s">
        <v>486</v>
      </c>
    </row>
    <row r="404" spans="1:3" x14ac:dyDescent="0.2">
      <c r="A404" s="25">
        <v>841</v>
      </c>
      <c r="B404" s="21" t="s">
        <v>887</v>
      </c>
      <c r="C404" t="s">
        <v>486</v>
      </c>
    </row>
    <row r="405" spans="1:3" x14ac:dyDescent="0.2">
      <c r="A405" s="25">
        <v>842</v>
      </c>
      <c r="B405" s="21" t="s">
        <v>888</v>
      </c>
      <c r="C405" t="s">
        <v>486</v>
      </c>
    </row>
    <row r="406" spans="1:3" x14ac:dyDescent="0.2">
      <c r="A406" s="25">
        <v>851</v>
      </c>
      <c r="B406" s="21" t="s">
        <v>889</v>
      </c>
      <c r="C406" t="s">
        <v>486</v>
      </c>
    </row>
    <row r="407" spans="1:3" x14ac:dyDescent="0.2">
      <c r="A407" s="25">
        <v>852</v>
      </c>
      <c r="B407" s="21" t="s">
        <v>890</v>
      </c>
      <c r="C407" t="s">
        <v>486</v>
      </c>
    </row>
    <row r="408" spans="1:3" x14ac:dyDescent="0.2">
      <c r="A408" s="25">
        <v>853</v>
      </c>
      <c r="B408" s="21" t="s">
        <v>891</v>
      </c>
      <c r="C408" t="s">
        <v>486</v>
      </c>
    </row>
    <row r="409" spans="1:3" x14ac:dyDescent="0.2">
      <c r="A409" s="25">
        <v>854</v>
      </c>
      <c r="B409" s="21" t="s">
        <v>892</v>
      </c>
      <c r="C409" t="s">
        <v>486</v>
      </c>
    </row>
    <row r="410" spans="1:3" x14ac:dyDescent="0.2">
      <c r="A410" s="25">
        <v>855</v>
      </c>
      <c r="B410" s="21" t="s">
        <v>893</v>
      </c>
      <c r="C410" t="s">
        <v>486</v>
      </c>
    </row>
    <row r="411" spans="1:3" x14ac:dyDescent="0.2">
      <c r="A411" s="25">
        <v>856</v>
      </c>
      <c r="B411" s="21" t="s">
        <v>894</v>
      </c>
      <c r="C411" t="s">
        <v>486</v>
      </c>
    </row>
    <row r="412" spans="1:3" x14ac:dyDescent="0.2">
      <c r="A412" s="25">
        <v>857</v>
      </c>
      <c r="B412" s="21" t="s">
        <v>895</v>
      </c>
      <c r="C412" t="s">
        <v>486</v>
      </c>
    </row>
    <row r="413" spans="1:3" x14ac:dyDescent="0.2">
      <c r="A413" s="25">
        <v>858</v>
      </c>
      <c r="B413" s="21" t="s">
        <v>896</v>
      </c>
      <c r="C413" t="s">
        <v>486</v>
      </c>
    </row>
    <row r="414" spans="1:3" x14ac:dyDescent="0.2">
      <c r="A414" s="25">
        <v>859</v>
      </c>
      <c r="B414" s="21" t="s">
        <v>897</v>
      </c>
      <c r="C414" t="s">
        <v>486</v>
      </c>
    </row>
    <row r="415" spans="1:3" x14ac:dyDescent="0.2">
      <c r="A415" s="25">
        <v>860</v>
      </c>
      <c r="B415" s="21" t="s">
        <v>898</v>
      </c>
      <c r="C415" t="s">
        <v>486</v>
      </c>
    </row>
    <row r="416" spans="1:3" x14ac:dyDescent="0.2">
      <c r="A416" s="25">
        <v>861</v>
      </c>
      <c r="B416" s="21" t="s">
        <v>899</v>
      </c>
      <c r="C416" t="s">
        <v>486</v>
      </c>
    </row>
    <row r="417" spans="1:3" x14ac:dyDescent="0.2">
      <c r="A417" s="25">
        <v>862</v>
      </c>
      <c r="B417" s="21" t="s">
        <v>900</v>
      </c>
      <c r="C417" t="s">
        <v>486</v>
      </c>
    </row>
    <row r="418" spans="1:3" x14ac:dyDescent="0.2">
      <c r="A418" s="25">
        <v>871</v>
      </c>
      <c r="B418" s="21" t="s">
        <v>901</v>
      </c>
      <c r="C418" t="s">
        <v>486</v>
      </c>
    </row>
    <row r="419" spans="1:3" x14ac:dyDescent="0.2">
      <c r="A419" s="25">
        <v>872</v>
      </c>
      <c r="B419" s="21" t="s">
        <v>902</v>
      </c>
      <c r="C419" t="s">
        <v>486</v>
      </c>
    </row>
    <row r="420" spans="1:3" x14ac:dyDescent="0.2">
      <c r="A420" s="25">
        <v>873</v>
      </c>
      <c r="B420" s="21" t="s">
        <v>903</v>
      </c>
      <c r="C420" t="s">
        <v>486</v>
      </c>
    </row>
    <row r="421" spans="1:3" x14ac:dyDescent="0.2">
      <c r="A421" s="25">
        <v>874</v>
      </c>
      <c r="B421" s="21" t="s">
        <v>904</v>
      </c>
      <c r="C421" t="s">
        <v>486</v>
      </c>
    </row>
    <row r="422" spans="1:3" x14ac:dyDescent="0.2">
      <c r="A422" s="25">
        <v>875</v>
      </c>
      <c r="B422" s="21" t="s">
        <v>905</v>
      </c>
      <c r="C422" t="s">
        <v>486</v>
      </c>
    </row>
    <row r="423" spans="1:3" x14ac:dyDescent="0.2">
      <c r="A423" s="25">
        <v>876</v>
      </c>
      <c r="B423" s="21" t="s">
        <v>906</v>
      </c>
      <c r="C423" t="s">
        <v>486</v>
      </c>
    </row>
    <row r="424" spans="1:3" x14ac:dyDescent="0.2">
      <c r="A424" s="25">
        <v>877</v>
      </c>
      <c r="B424" s="21" t="s">
        <v>907</v>
      </c>
      <c r="C424" t="s">
        <v>486</v>
      </c>
    </row>
    <row r="425" spans="1:3" x14ac:dyDescent="0.2">
      <c r="A425" s="25">
        <v>878</v>
      </c>
      <c r="B425" s="21" t="s">
        <v>908</v>
      </c>
      <c r="C425" t="s">
        <v>486</v>
      </c>
    </row>
    <row r="426" spans="1:3" x14ac:dyDescent="0.2">
      <c r="A426" s="25">
        <v>879</v>
      </c>
      <c r="B426" s="21" t="s">
        <v>909</v>
      </c>
      <c r="C426" t="s">
        <v>486</v>
      </c>
    </row>
    <row r="427" spans="1:3" x14ac:dyDescent="0.2">
      <c r="A427" s="25">
        <v>880</v>
      </c>
      <c r="B427" s="21" t="s">
        <v>910</v>
      </c>
      <c r="C427" t="s">
        <v>486</v>
      </c>
    </row>
    <row r="428" spans="1:3" x14ac:dyDescent="0.2">
      <c r="A428" s="25">
        <v>881</v>
      </c>
      <c r="B428" s="21" t="s">
        <v>911</v>
      </c>
      <c r="C428" t="s">
        <v>486</v>
      </c>
    </row>
    <row r="429" spans="1:3" x14ac:dyDescent="0.2">
      <c r="A429" s="25">
        <v>882</v>
      </c>
      <c r="B429" s="21" t="s">
        <v>912</v>
      </c>
      <c r="C429" t="s">
        <v>486</v>
      </c>
    </row>
    <row r="430" spans="1:3" x14ac:dyDescent="0.2">
      <c r="A430" s="25">
        <v>900</v>
      </c>
      <c r="B430" s="21" t="s">
        <v>913</v>
      </c>
      <c r="C430" t="s">
        <v>519</v>
      </c>
    </row>
    <row r="431" spans="1:3" x14ac:dyDescent="0.2">
      <c r="A431" s="25">
        <v>901</v>
      </c>
      <c r="B431" s="21" t="s">
        <v>914</v>
      </c>
      <c r="C431" t="s">
        <v>519</v>
      </c>
    </row>
    <row r="432" spans="1:3" x14ac:dyDescent="0.2">
      <c r="A432" s="25">
        <v>902</v>
      </c>
      <c r="B432" s="21" t="s">
        <v>915</v>
      </c>
      <c r="C432" t="s">
        <v>486</v>
      </c>
    </row>
    <row r="433" spans="1:3" x14ac:dyDescent="0.2">
      <c r="A433" s="25">
        <v>903</v>
      </c>
      <c r="B433" s="21" t="s">
        <v>916</v>
      </c>
      <c r="C433" t="s">
        <v>486</v>
      </c>
    </row>
    <row r="434" spans="1:3" x14ac:dyDescent="0.2">
      <c r="A434" s="25">
        <v>904</v>
      </c>
      <c r="B434" s="21" t="s">
        <v>917</v>
      </c>
      <c r="C434" t="s">
        <v>499</v>
      </c>
    </row>
    <row r="435" spans="1:3" x14ac:dyDescent="0.2">
      <c r="A435" s="25">
        <v>905</v>
      </c>
      <c r="B435" s="21" t="s">
        <v>918</v>
      </c>
      <c r="C435" t="s">
        <v>486</v>
      </c>
    </row>
    <row r="436" spans="1:3" x14ac:dyDescent="0.2">
      <c r="A436" s="25">
        <v>906</v>
      </c>
      <c r="B436" s="21" t="s">
        <v>919</v>
      </c>
      <c r="C436" t="s">
        <v>479</v>
      </c>
    </row>
    <row r="437" spans="1:3" x14ac:dyDescent="0.2">
      <c r="A437" s="25">
        <v>907</v>
      </c>
      <c r="B437" s="21" t="s">
        <v>920</v>
      </c>
      <c r="C437" t="s">
        <v>479</v>
      </c>
    </row>
    <row r="438" spans="1:3" x14ac:dyDescent="0.2">
      <c r="A438" s="25">
        <v>908</v>
      </c>
      <c r="B438" s="21" t="s">
        <v>921</v>
      </c>
      <c r="C438" t="s">
        <v>486</v>
      </c>
    </row>
    <row r="439" spans="1:3" x14ac:dyDescent="0.2">
      <c r="A439" s="25">
        <v>909</v>
      </c>
      <c r="B439" s="21" t="s">
        <v>922</v>
      </c>
      <c r="C439" t="s">
        <v>486</v>
      </c>
    </row>
    <row r="440" spans="1:3" x14ac:dyDescent="0.2">
      <c r="A440" s="25">
        <v>910</v>
      </c>
      <c r="B440" s="21" t="s">
        <v>923</v>
      </c>
      <c r="C440" t="s">
        <v>486</v>
      </c>
    </row>
    <row r="441" spans="1:3" x14ac:dyDescent="0.2">
      <c r="A441" s="25">
        <v>911</v>
      </c>
      <c r="B441" s="21" t="s">
        <v>924</v>
      </c>
      <c r="C441" t="s">
        <v>486</v>
      </c>
    </row>
    <row r="442" spans="1:3" x14ac:dyDescent="0.2">
      <c r="A442" s="25">
        <v>912</v>
      </c>
      <c r="B442" s="21" t="s">
        <v>925</v>
      </c>
      <c r="C442" t="s">
        <v>486</v>
      </c>
    </row>
    <row r="443" spans="1:3" x14ac:dyDescent="0.2">
      <c r="A443" s="25">
        <v>913</v>
      </c>
      <c r="B443" s="21" t="s">
        <v>926</v>
      </c>
      <c r="C443" t="s">
        <v>486</v>
      </c>
    </row>
    <row r="444" spans="1:3" x14ac:dyDescent="0.2">
      <c r="A444" s="25">
        <v>914</v>
      </c>
      <c r="B444" s="21" t="s">
        <v>927</v>
      </c>
      <c r="C444" t="s">
        <v>486</v>
      </c>
    </row>
    <row r="445" spans="1:3" x14ac:dyDescent="0.2">
      <c r="A445" s="25">
        <v>915</v>
      </c>
      <c r="B445" s="21" t="s">
        <v>928</v>
      </c>
      <c r="C445" t="s">
        <v>486</v>
      </c>
    </row>
    <row r="446" spans="1:3" x14ac:dyDescent="0.2">
      <c r="A446" s="25">
        <v>916</v>
      </c>
      <c r="B446" s="21" t="s">
        <v>929</v>
      </c>
      <c r="C446" t="s">
        <v>486</v>
      </c>
    </row>
    <row r="447" spans="1:3" x14ac:dyDescent="0.2">
      <c r="A447" s="25">
        <v>917</v>
      </c>
      <c r="B447" s="21" t="s">
        <v>930</v>
      </c>
      <c r="C447" t="s">
        <v>486</v>
      </c>
    </row>
    <row r="448" spans="1:3" x14ac:dyDescent="0.2">
      <c r="A448" s="25">
        <v>918</v>
      </c>
      <c r="B448" s="21" t="s">
        <v>931</v>
      </c>
      <c r="C448" t="s">
        <v>486</v>
      </c>
    </row>
    <row r="449" spans="1:3" x14ac:dyDescent="0.2">
      <c r="A449" s="25">
        <v>919</v>
      </c>
      <c r="B449" s="21" t="s">
        <v>932</v>
      </c>
      <c r="C449" t="s">
        <v>486</v>
      </c>
    </row>
    <row r="450" spans="1:3" x14ac:dyDescent="0.2">
      <c r="A450" s="25">
        <v>920</v>
      </c>
      <c r="B450" s="21" t="s">
        <v>933</v>
      </c>
      <c r="C450" t="s">
        <v>486</v>
      </c>
    </row>
    <row r="451" spans="1:3" x14ac:dyDescent="0.2">
      <c r="A451" s="25">
        <v>930</v>
      </c>
      <c r="B451" s="21" t="s">
        <v>934</v>
      </c>
      <c r="C451" t="s">
        <v>486</v>
      </c>
    </row>
    <row r="452" spans="1:3" x14ac:dyDescent="0.2">
      <c r="A452" s="25">
        <v>931</v>
      </c>
      <c r="B452" s="21" t="s">
        <v>935</v>
      </c>
      <c r="C452" t="s">
        <v>486</v>
      </c>
    </row>
    <row r="453" spans="1:3" x14ac:dyDescent="0.2">
      <c r="A453" s="25">
        <v>940</v>
      </c>
      <c r="B453" s="21" t="s">
        <v>936</v>
      </c>
      <c r="C453" t="s">
        <v>486</v>
      </c>
    </row>
    <row r="454" spans="1:3" x14ac:dyDescent="0.2">
      <c r="A454" s="25">
        <v>941</v>
      </c>
      <c r="B454" s="21" t="s">
        <v>937</v>
      </c>
      <c r="C454" t="s">
        <v>486</v>
      </c>
    </row>
    <row r="455" spans="1:3" x14ac:dyDescent="0.2">
      <c r="A455" s="25">
        <v>942</v>
      </c>
      <c r="B455" s="21" t="s">
        <v>938</v>
      </c>
      <c r="C455" t="s">
        <v>486</v>
      </c>
    </row>
    <row r="456" spans="1:3" x14ac:dyDescent="0.2">
      <c r="A456" s="25">
        <v>943</v>
      </c>
      <c r="B456" s="21" t="s">
        <v>939</v>
      </c>
      <c r="C456" t="s">
        <v>486</v>
      </c>
    </row>
    <row r="457" spans="1:3" x14ac:dyDescent="0.2">
      <c r="A457" s="25">
        <v>950</v>
      </c>
      <c r="B457" s="21" t="s">
        <v>940</v>
      </c>
      <c r="C457" t="s">
        <v>486</v>
      </c>
    </row>
    <row r="458" spans="1:3" x14ac:dyDescent="0.2">
      <c r="A458" s="25">
        <v>951</v>
      </c>
      <c r="B458" s="21" t="s">
        <v>941</v>
      </c>
      <c r="C458" t="s">
        <v>486</v>
      </c>
    </row>
    <row r="459" spans="1:3" x14ac:dyDescent="0.2">
      <c r="A459" s="25">
        <v>952</v>
      </c>
      <c r="B459" s="21" t="s">
        <v>942</v>
      </c>
      <c r="C459" t="s">
        <v>479</v>
      </c>
    </row>
    <row r="460" spans="1:3" x14ac:dyDescent="0.2">
      <c r="A460" s="25">
        <v>953</v>
      </c>
      <c r="B460" s="21" t="s">
        <v>943</v>
      </c>
      <c r="C460" t="s">
        <v>479</v>
      </c>
    </row>
    <row r="461" spans="1:3" x14ac:dyDescent="0.2">
      <c r="A461" s="25">
        <v>954</v>
      </c>
      <c r="B461" s="21" t="s">
        <v>944</v>
      </c>
      <c r="C461" t="s">
        <v>486</v>
      </c>
    </row>
    <row r="462" spans="1:3" x14ac:dyDescent="0.2">
      <c r="A462" s="25">
        <v>955</v>
      </c>
      <c r="B462" s="21" t="s">
        <v>945</v>
      </c>
      <c r="C462" t="s">
        <v>486</v>
      </c>
    </row>
    <row r="463" spans="1:3" x14ac:dyDescent="0.2">
      <c r="A463" s="25">
        <v>997</v>
      </c>
      <c r="B463" s="21" t="s">
        <v>946</v>
      </c>
      <c r="C463" t="s">
        <v>486</v>
      </c>
    </row>
    <row r="464" spans="1:3" x14ac:dyDescent="0.2">
      <c r="A464" s="25">
        <v>998</v>
      </c>
      <c r="B464" s="21" t="s">
        <v>1823</v>
      </c>
      <c r="C464" t="s">
        <v>486</v>
      </c>
    </row>
    <row r="465" spans="1:3" x14ac:dyDescent="0.2">
      <c r="A465" s="25">
        <v>999</v>
      </c>
      <c r="B465" s="21" t="s">
        <v>947</v>
      </c>
      <c r="C465" t="s">
        <v>486</v>
      </c>
    </row>
    <row r="466" spans="1:3" x14ac:dyDescent="0.2">
      <c r="A466" s="25">
        <v>1200</v>
      </c>
      <c r="B466" s="21" t="s">
        <v>948</v>
      </c>
      <c r="C466" t="s">
        <v>519</v>
      </c>
    </row>
    <row r="467" spans="1:3" x14ac:dyDescent="0.2">
      <c r="A467" s="25">
        <v>1201</v>
      </c>
      <c r="B467" s="21" t="s">
        <v>949</v>
      </c>
      <c r="C467" t="s">
        <v>519</v>
      </c>
    </row>
    <row r="468" spans="1:3" x14ac:dyDescent="0.2">
      <c r="A468" s="25">
        <v>1202</v>
      </c>
      <c r="B468" s="21" t="s">
        <v>950</v>
      </c>
      <c r="C468" t="s">
        <v>519</v>
      </c>
    </row>
    <row r="469" spans="1:3" x14ac:dyDescent="0.2">
      <c r="A469" s="25">
        <v>1203</v>
      </c>
      <c r="B469" s="21" t="s">
        <v>951</v>
      </c>
      <c r="C469" t="s">
        <v>519</v>
      </c>
    </row>
    <row r="470" spans="1:3" x14ac:dyDescent="0.2">
      <c r="A470" s="25">
        <v>1204</v>
      </c>
      <c r="B470" s="21" t="s">
        <v>952</v>
      </c>
      <c r="C470" t="s">
        <v>519</v>
      </c>
    </row>
    <row r="471" spans="1:3" x14ac:dyDescent="0.2">
      <c r="A471" s="25">
        <v>1205</v>
      </c>
      <c r="B471" s="21" t="s">
        <v>953</v>
      </c>
      <c r="C471" t="s">
        <v>519</v>
      </c>
    </row>
    <row r="472" spans="1:3" x14ac:dyDescent="0.2">
      <c r="A472" s="25">
        <v>1206</v>
      </c>
      <c r="B472" s="21" t="s">
        <v>954</v>
      </c>
      <c r="C472" t="s">
        <v>519</v>
      </c>
    </row>
    <row r="473" spans="1:3" x14ac:dyDescent="0.2">
      <c r="A473" s="25">
        <v>1207</v>
      </c>
      <c r="B473" s="21" t="s">
        <v>955</v>
      </c>
      <c r="C473" t="s">
        <v>519</v>
      </c>
    </row>
    <row r="474" spans="1:3" x14ac:dyDescent="0.2">
      <c r="A474" s="25">
        <v>1210</v>
      </c>
      <c r="B474" s="21" t="s">
        <v>956</v>
      </c>
      <c r="C474" t="s">
        <v>519</v>
      </c>
    </row>
    <row r="475" spans="1:3" x14ac:dyDescent="0.2">
      <c r="A475" s="25">
        <v>1211</v>
      </c>
      <c r="B475" s="21" t="s">
        <v>957</v>
      </c>
      <c r="C475" t="s">
        <v>519</v>
      </c>
    </row>
    <row r="476" spans="1:3" x14ac:dyDescent="0.2">
      <c r="A476" s="25">
        <v>1242</v>
      </c>
      <c r="B476" s="21" t="s">
        <v>575</v>
      </c>
      <c r="C476" t="s">
        <v>519</v>
      </c>
    </row>
    <row r="477" spans="1:3" x14ac:dyDescent="0.2">
      <c r="A477" s="25">
        <v>1243</v>
      </c>
      <c r="B477" s="21" t="s">
        <v>576</v>
      </c>
      <c r="C477" t="s">
        <v>519</v>
      </c>
    </row>
    <row r="478" spans="1:3" x14ac:dyDescent="0.2">
      <c r="A478" s="25">
        <v>1252</v>
      </c>
      <c r="B478" s="21" t="s">
        <v>958</v>
      </c>
      <c r="C478" t="s">
        <v>519</v>
      </c>
    </row>
    <row r="479" spans="1:3" x14ac:dyDescent="0.2">
      <c r="A479" s="25">
        <v>1253</v>
      </c>
      <c r="B479" s="21" t="s">
        <v>959</v>
      </c>
      <c r="C479" t="s">
        <v>519</v>
      </c>
    </row>
    <row r="480" spans="1:3" x14ac:dyDescent="0.2">
      <c r="A480" s="25">
        <v>1254</v>
      </c>
      <c r="B480" s="21" t="s">
        <v>960</v>
      </c>
      <c r="C480" t="s">
        <v>519</v>
      </c>
    </row>
    <row r="481" spans="1:3" x14ac:dyDescent="0.2">
      <c r="A481" s="25">
        <v>1255</v>
      </c>
      <c r="B481" s="21" t="s">
        <v>961</v>
      </c>
      <c r="C481" t="s">
        <v>519</v>
      </c>
    </row>
    <row r="482" spans="1:3" x14ac:dyDescent="0.2">
      <c r="A482" s="25">
        <v>1256</v>
      </c>
      <c r="B482" s="21" t="s">
        <v>962</v>
      </c>
      <c r="C482" t="s">
        <v>519</v>
      </c>
    </row>
    <row r="483" spans="1:3" x14ac:dyDescent="0.2">
      <c r="A483" s="25">
        <v>1257</v>
      </c>
      <c r="B483" s="21" t="s">
        <v>963</v>
      </c>
      <c r="C483" t="s">
        <v>519</v>
      </c>
    </row>
    <row r="484" spans="1:3" x14ac:dyDescent="0.2">
      <c r="A484" s="25">
        <v>1270</v>
      </c>
      <c r="B484" s="21" t="s">
        <v>575</v>
      </c>
      <c r="C484" t="s">
        <v>519</v>
      </c>
    </row>
    <row r="485" spans="1:3" x14ac:dyDescent="0.2">
      <c r="A485" s="25">
        <v>1271</v>
      </c>
      <c r="B485" s="21" t="s">
        <v>576</v>
      </c>
      <c r="C485" t="s">
        <v>519</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5C6E2-2A19-4F72-91CE-220B1F394402}">
  <sheetPr codeName="Sheet13">
    <tabColor theme="5" tint="0.39997558519241921"/>
  </sheetPr>
  <dimension ref="A1:C644"/>
  <sheetViews>
    <sheetView topLeftCell="A28" workbookViewId="0">
      <selection activeCell="G40" sqref="G40"/>
    </sheetView>
  </sheetViews>
  <sheetFormatPr baseColWidth="10" defaultColWidth="9.1640625" defaultRowHeight="11" x14ac:dyDescent="0.15"/>
  <cols>
    <col min="1" max="1" width="10" style="2" bestFit="1" customWidth="1"/>
    <col min="2" max="2" width="16.5" style="60" customWidth="1"/>
    <col min="3" max="3" width="42.5" style="2" customWidth="1"/>
    <col min="4" max="16384" width="9.1640625" style="2"/>
  </cols>
  <sheetData>
    <row r="1" spans="1:3" ht="13" thickBot="1" x14ac:dyDescent="0.2">
      <c r="A1" s="57" t="s">
        <v>966</v>
      </c>
      <c r="B1" s="58" t="s">
        <v>1129</v>
      </c>
      <c r="C1" s="59" t="s">
        <v>220</v>
      </c>
    </row>
    <row r="2" spans="1:3" ht="12" x14ac:dyDescent="0.15">
      <c r="A2" s="25">
        <v>0</v>
      </c>
      <c r="B2" s="56" t="str">
        <f>100&amp;A2</f>
        <v>1000</v>
      </c>
      <c r="C2" s="21" t="s">
        <v>967</v>
      </c>
    </row>
    <row r="3" spans="1:3" ht="12" x14ac:dyDescent="0.15">
      <c r="A3" s="25">
        <v>1</v>
      </c>
      <c r="B3" s="56" t="str">
        <f t="shared" ref="B3:B11" si="0">100&amp;A3</f>
        <v>1001</v>
      </c>
      <c r="C3" s="21" t="s">
        <v>968</v>
      </c>
    </row>
    <row r="4" spans="1:3" ht="12" x14ac:dyDescent="0.15">
      <c r="A4" s="25">
        <v>2</v>
      </c>
      <c r="B4" s="56" t="str">
        <f t="shared" si="0"/>
        <v>1002</v>
      </c>
      <c r="C4" s="21" t="s">
        <v>969</v>
      </c>
    </row>
    <row r="5" spans="1:3" ht="12" x14ac:dyDescent="0.15">
      <c r="A5" s="25">
        <v>3</v>
      </c>
      <c r="B5" s="56" t="str">
        <f t="shared" si="0"/>
        <v>1003</v>
      </c>
      <c r="C5" s="21" t="s">
        <v>970</v>
      </c>
    </row>
    <row r="6" spans="1:3" ht="12" x14ac:dyDescent="0.15">
      <c r="A6" s="25">
        <v>4</v>
      </c>
      <c r="B6" s="56" t="str">
        <f t="shared" si="0"/>
        <v>1004</v>
      </c>
      <c r="C6" s="21" t="s">
        <v>971</v>
      </c>
    </row>
    <row r="7" spans="1:3" ht="12" x14ac:dyDescent="0.15">
      <c r="A7" s="25">
        <v>5</v>
      </c>
      <c r="B7" s="56" t="str">
        <f t="shared" si="0"/>
        <v>1005</v>
      </c>
      <c r="C7" s="21" t="s">
        <v>972</v>
      </c>
    </row>
    <row r="8" spans="1:3" ht="12" x14ac:dyDescent="0.15">
      <c r="A8" s="25">
        <v>6</v>
      </c>
      <c r="B8" s="56" t="str">
        <f t="shared" si="0"/>
        <v>1006</v>
      </c>
      <c r="C8" s="21" t="s">
        <v>973</v>
      </c>
    </row>
    <row r="9" spans="1:3" ht="12" x14ac:dyDescent="0.15">
      <c r="A9" s="25">
        <v>7</v>
      </c>
      <c r="B9" s="56" t="str">
        <f t="shared" si="0"/>
        <v>1007</v>
      </c>
      <c r="C9" s="21" t="s">
        <v>974</v>
      </c>
    </row>
    <row r="10" spans="1:3" ht="12" x14ac:dyDescent="0.15">
      <c r="A10" s="25">
        <v>8</v>
      </c>
      <c r="B10" s="56" t="str">
        <f t="shared" si="0"/>
        <v>1008</v>
      </c>
      <c r="C10" s="21" t="s">
        <v>975</v>
      </c>
    </row>
    <row r="11" spans="1:3" ht="12" x14ac:dyDescent="0.15">
      <c r="A11" s="25">
        <v>9</v>
      </c>
      <c r="B11" s="56" t="str">
        <f t="shared" si="0"/>
        <v>1009</v>
      </c>
      <c r="C11" s="21" t="s">
        <v>976</v>
      </c>
    </row>
    <row r="12" spans="1:3" ht="12" x14ac:dyDescent="0.15">
      <c r="A12" s="25">
        <v>10</v>
      </c>
      <c r="B12" s="56" t="str">
        <f>10&amp;A12</f>
        <v>1010</v>
      </c>
      <c r="C12" s="21" t="s">
        <v>977</v>
      </c>
    </row>
    <row r="13" spans="1:3" ht="12" x14ac:dyDescent="0.15">
      <c r="A13" s="25">
        <v>11</v>
      </c>
      <c r="B13" s="56" t="str">
        <f t="shared" ref="B13:B49" si="1">10&amp;A13</f>
        <v>1011</v>
      </c>
      <c r="C13" s="21" t="s">
        <v>978</v>
      </c>
    </row>
    <row r="14" spans="1:3" ht="12" x14ac:dyDescent="0.15">
      <c r="A14" s="25">
        <v>12</v>
      </c>
      <c r="B14" s="56" t="str">
        <f t="shared" si="1"/>
        <v>1012</v>
      </c>
      <c r="C14" s="21" t="s">
        <v>979</v>
      </c>
    </row>
    <row r="15" spans="1:3" ht="12" x14ac:dyDescent="0.15">
      <c r="A15" s="25">
        <v>13</v>
      </c>
      <c r="B15" s="56" t="str">
        <f t="shared" si="1"/>
        <v>1013</v>
      </c>
      <c r="C15" s="21" t="s">
        <v>980</v>
      </c>
    </row>
    <row r="16" spans="1:3" ht="12" x14ac:dyDescent="0.15">
      <c r="A16" s="25">
        <v>14</v>
      </c>
      <c r="B16" s="56" t="str">
        <f t="shared" si="1"/>
        <v>1014</v>
      </c>
      <c r="C16" s="21" t="s">
        <v>981</v>
      </c>
    </row>
    <row r="17" spans="1:3" ht="12" x14ac:dyDescent="0.15">
      <c r="A17" s="25">
        <v>15</v>
      </c>
      <c r="B17" s="56" t="str">
        <f t="shared" si="1"/>
        <v>1015</v>
      </c>
      <c r="C17" s="21" t="s">
        <v>982</v>
      </c>
    </row>
    <row r="18" spans="1:3" ht="12" x14ac:dyDescent="0.15">
      <c r="A18" s="25">
        <v>16</v>
      </c>
      <c r="B18" s="56" t="str">
        <f t="shared" si="1"/>
        <v>1016</v>
      </c>
      <c r="C18" s="21" t="s">
        <v>983</v>
      </c>
    </row>
    <row r="19" spans="1:3" ht="12" x14ac:dyDescent="0.15">
      <c r="A19" s="25">
        <v>17</v>
      </c>
      <c r="B19" s="56" t="str">
        <f t="shared" si="1"/>
        <v>1017</v>
      </c>
      <c r="C19" s="21" t="s">
        <v>984</v>
      </c>
    </row>
    <row r="20" spans="1:3" ht="12" x14ac:dyDescent="0.15">
      <c r="A20" s="25">
        <v>18</v>
      </c>
      <c r="B20" s="56" t="str">
        <f t="shared" si="1"/>
        <v>1018</v>
      </c>
      <c r="C20" s="21" t="s">
        <v>985</v>
      </c>
    </row>
    <row r="21" spans="1:3" ht="12" x14ac:dyDescent="0.15">
      <c r="A21" s="25">
        <v>19</v>
      </c>
      <c r="B21" s="56" t="str">
        <f t="shared" si="1"/>
        <v>1019</v>
      </c>
      <c r="C21" s="21" t="s">
        <v>986</v>
      </c>
    </row>
    <row r="22" spans="1:3" ht="12" x14ac:dyDescent="0.15">
      <c r="A22" s="25">
        <v>20</v>
      </c>
      <c r="B22" s="56" t="str">
        <f t="shared" si="1"/>
        <v>1020</v>
      </c>
      <c r="C22" s="21" t="s">
        <v>987</v>
      </c>
    </row>
    <row r="23" spans="1:3" ht="12" x14ac:dyDescent="0.15">
      <c r="A23" s="25">
        <v>21</v>
      </c>
      <c r="B23" s="56" t="str">
        <f t="shared" si="1"/>
        <v>1021</v>
      </c>
      <c r="C23" s="21" t="s">
        <v>988</v>
      </c>
    </row>
    <row r="24" spans="1:3" ht="12" x14ac:dyDescent="0.15">
      <c r="A24" s="25">
        <v>22</v>
      </c>
      <c r="B24" s="56" t="str">
        <f t="shared" si="1"/>
        <v>1022</v>
      </c>
      <c r="C24" s="21" t="s">
        <v>989</v>
      </c>
    </row>
    <row r="25" spans="1:3" ht="12" x14ac:dyDescent="0.15">
      <c r="A25" s="25">
        <v>23</v>
      </c>
      <c r="B25" s="56" t="str">
        <f t="shared" si="1"/>
        <v>1023</v>
      </c>
      <c r="C25" s="21" t="s">
        <v>990</v>
      </c>
    </row>
    <row r="26" spans="1:3" ht="12" x14ac:dyDescent="0.15">
      <c r="A26" s="25">
        <v>24</v>
      </c>
      <c r="B26" s="56" t="str">
        <f t="shared" si="1"/>
        <v>1024</v>
      </c>
      <c r="C26" s="21" t="s">
        <v>991</v>
      </c>
    </row>
    <row r="27" spans="1:3" ht="12" x14ac:dyDescent="0.15">
      <c r="A27" s="25">
        <v>25</v>
      </c>
      <c r="B27" s="56" t="str">
        <f t="shared" si="1"/>
        <v>1025</v>
      </c>
      <c r="C27" s="21" t="s">
        <v>992</v>
      </c>
    </row>
    <row r="28" spans="1:3" ht="12" x14ac:dyDescent="0.15">
      <c r="A28" s="25">
        <v>26</v>
      </c>
      <c r="B28" s="56" t="str">
        <f t="shared" si="1"/>
        <v>1026</v>
      </c>
      <c r="C28" s="21" t="s">
        <v>993</v>
      </c>
    </row>
    <row r="29" spans="1:3" ht="12" x14ac:dyDescent="0.15">
      <c r="A29" s="25">
        <v>27</v>
      </c>
      <c r="B29" s="56" t="str">
        <f t="shared" si="1"/>
        <v>1027</v>
      </c>
      <c r="C29" s="21" t="s">
        <v>994</v>
      </c>
    </row>
    <row r="30" spans="1:3" ht="12" x14ac:dyDescent="0.15">
      <c r="A30" s="25">
        <v>28</v>
      </c>
      <c r="B30" s="56" t="str">
        <f t="shared" si="1"/>
        <v>1028</v>
      </c>
      <c r="C30" s="21" t="s">
        <v>995</v>
      </c>
    </row>
    <row r="31" spans="1:3" ht="12" x14ac:dyDescent="0.15">
      <c r="A31" s="25">
        <v>29</v>
      </c>
      <c r="B31" s="56" t="str">
        <f t="shared" si="1"/>
        <v>1029</v>
      </c>
      <c r="C31" s="21" t="s">
        <v>996</v>
      </c>
    </row>
    <row r="32" spans="1:3" ht="12" x14ac:dyDescent="0.15">
      <c r="A32" s="25">
        <v>30</v>
      </c>
      <c r="B32" s="56" t="str">
        <f t="shared" si="1"/>
        <v>1030</v>
      </c>
      <c r="C32" s="21" t="s">
        <v>997</v>
      </c>
    </row>
    <row r="33" spans="1:3" ht="12" x14ac:dyDescent="0.15">
      <c r="A33" s="25">
        <v>31</v>
      </c>
      <c r="B33" s="56" t="str">
        <f t="shared" si="1"/>
        <v>1031</v>
      </c>
      <c r="C33" s="21" t="s">
        <v>998</v>
      </c>
    </row>
    <row r="34" spans="1:3" ht="12" x14ac:dyDescent="0.15">
      <c r="A34" s="25">
        <v>32</v>
      </c>
      <c r="B34" s="56" t="str">
        <f t="shared" si="1"/>
        <v>1032</v>
      </c>
      <c r="C34" s="21" t="s">
        <v>999</v>
      </c>
    </row>
    <row r="35" spans="1:3" ht="12" x14ac:dyDescent="0.15">
      <c r="A35" s="25">
        <v>33</v>
      </c>
      <c r="B35" s="56" t="str">
        <f t="shared" si="1"/>
        <v>1033</v>
      </c>
      <c r="C35" s="21" t="s">
        <v>1000</v>
      </c>
    </row>
    <row r="36" spans="1:3" ht="12" x14ac:dyDescent="0.15">
      <c r="A36" s="25">
        <v>34</v>
      </c>
      <c r="B36" s="56" t="str">
        <f t="shared" si="1"/>
        <v>1034</v>
      </c>
      <c r="C36" s="21" t="s">
        <v>1001</v>
      </c>
    </row>
    <row r="37" spans="1:3" ht="12" x14ac:dyDescent="0.15">
      <c r="A37" s="25">
        <v>35</v>
      </c>
      <c r="B37" s="56" t="str">
        <f t="shared" si="1"/>
        <v>1035</v>
      </c>
      <c r="C37" s="21" t="s">
        <v>1002</v>
      </c>
    </row>
    <row r="38" spans="1:3" ht="12" x14ac:dyDescent="0.15">
      <c r="A38" s="25">
        <v>36</v>
      </c>
      <c r="B38" s="56" t="str">
        <f t="shared" si="1"/>
        <v>1036</v>
      </c>
      <c r="C38" s="21" t="s">
        <v>211</v>
      </c>
    </row>
    <row r="39" spans="1:3" ht="12" x14ac:dyDescent="0.15">
      <c r="A39" s="25">
        <v>37</v>
      </c>
      <c r="B39" s="56" t="str">
        <f t="shared" si="1"/>
        <v>1037</v>
      </c>
      <c r="C39" s="21" t="s">
        <v>1003</v>
      </c>
    </row>
    <row r="40" spans="1:3" ht="12" x14ac:dyDescent="0.15">
      <c r="A40" s="25">
        <v>38</v>
      </c>
      <c r="B40" s="56" t="str">
        <f t="shared" si="1"/>
        <v>1038</v>
      </c>
      <c r="C40" s="21" t="s">
        <v>1004</v>
      </c>
    </row>
    <row r="41" spans="1:3" ht="12" x14ac:dyDescent="0.15">
      <c r="A41" s="25">
        <v>39</v>
      </c>
      <c r="B41" s="56" t="str">
        <f t="shared" si="1"/>
        <v>1039</v>
      </c>
      <c r="C41" s="21" t="s">
        <v>1005</v>
      </c>
    </row>
    <row r="42" spans="1:3" ht="12" x14ac:dyDescent="0.15">
      <c r="A42" s="25">
        <v>40</v>
      </c>
      <c r="B42" s="56" t="str">
        <f t="shared" si="1"/>
        <v>1040</v>
      </c>
      <c r="C42" s="21" t="s">
        <v>384</v>
      </c>
    </row>
    <row r="43" spans="1:3" ht="12" x14ac:dyDescent="0.15">
      <c r="A43" s="25">
        <v>41</v>
      </c>
      <c r="B43" s="56" t="str">
        <f t="shared" si="1"/>
        <v>1041</v>
      </c>
      <c r="C43" s="21" t="s">
        <v>385</v>
      </c>
    </row>
    <row r="44" spans="1:3" ht="12" x14ac:dyDescent="0.15">
      <c r="A44" s="25">
        <v>42</v>
      </c>
      <c r="B44" s="56" t="str">
        <f t="shared" si="1"/>
        <v>1042</v>
      </c>
      <c r="C44" s="21" t="s">
        <v>383</v>
      </c>
    </row>
    <row r="45" spans="1:3" ht="12" x14ac:dyDescent="0.15">
      <c r="A45" s="25">
        <v>43</v>
      </c>
      <c r="B45" s="56" t="str">
        <f t="shared" si="1"/>
        <v>1043</v>
      </c>
      <c r="C45" s="21" t="s">
        <v>1006</v>
      </c>
    </row>
    <row r="46" spans="1:3" ht="12" x14ac:dyDescent="0.15">
      <c r="A46" s="25">
        <v>44</v>
      </c>
      <c r="B46" s="56" t="str">
        <f t="shared" si="1"/>
        <v>1044</v>
      </c>
      <c r="C46" s="21" t="s">
        <v>1007</v>
      </c>
    </row>
    <row r="47" spans="1:3" ht="12" x14ac:dyDescent="0.15">
      <c r="A47" s="25">
        <v>45</v>
      </c>
      <c r="B47" s="56" t="str">
        <f t="shared" si="1"/>
        <v>1045</v>
      </c>
      <c r="C47" s="21" t="s">
        <v>1008</v>
      </c>
    </row>
    <row r="48" spans="1:3" ht="12" x14ac:dyDescent="0.15">
      <c r="A48" s="25">
        <v>46</v>
      </c>
      <c r="B48" s="56" t="str">
        <f t="shared" si="1"/>
        <v>1046</v>
      </c>
      <c r="C48" s="21" t="s">
        <v>1009</v>
      </c>
    </row>
    <row r="49" spans="1:3" ht="12" x14ac:dyDescent="0.15">
      <c r="A49" s="25">
        <v>47</v>
      </c>
      <c r="B49" s="56" t="str">
        <f t="shared" si="1"/>
        <v>1047</v>
      </c>
      <c r="C49" s="21" t="s">
        <v>1010</v>
      </c>
    </row>
    <row r="50" spans="1:3" ht="12" x14ac:dyDescent="0.15">
      <c r="A50" s="25">
        <v>50</v>
      </c>
      <c r="B50" s="56" t="str">
        <f>40&amp;A50</f>
        <v>4050</v>
      </c>
      <c r="C50" s="21" t="s">
        <v>1011</v>
      </c>
    </row>
    <row r="51" spans="1:3" ht="12" x14ac:dyDescent="0.15">
      <c r="A51" s="25">
        <v>51</v>
      </c>
      <c r="B51" s="56" t="str">
        <f t="shared" ref="B51:B70" si="2">40&amp;A51</f>
        <v>4051</v>
      </c>
      <c r="C51" s="21" t="s">
        <v>1012</v>
      </c>
    </row>
    <row r="52" spans="1:3" ht="12" x14ac:dyDescent="0.15">
      <c r="A52" s="25">
        <v>52</v>
      </c>
      <c r="B52" s="56" t="str">
        <f t="shared" si="2"/>
        <v>4052</v>
      </c>
      <c r="C52" s="21" t="s">
        <v>1013</v>
      </c>
    </row>
    <row r="53" spans="1:3" ht="12" x14ac:dyDescent="0.15">
      <c r="A53" s="25">
        <v>53</v>
      </c>
      <c r="B53" s="56" t="str">
        <f t="shared" si="2"/>
        <v>4053</v>
      </c>
      <c r="C53" s="21" t="s">
        <v>1014</v>
      </c>
    </row>
    <row r="54" spans="1:3" ht="12" x14ac:dyDescent="0.15">
      <c r="A54" s="25">
        <v>54</v>
      </c>
      <c r="B54" s="56" t="str">
        <f t="shared" si="2"/>
        <v>4054</v>
      </c>
      <c r="C54" s="21" t="s">
        <v>1015</v>
      </c>
    </row>
    <row r="55" spans="1:3" ht="12" x14ac:dyDescent="0.15">
      <c r="A55" s="25">
        <v>55</v>
      </c>
      <c r="B55" s="56" t="str">
        <f t="shared" si="2"/>
        <v>4055</v>
      </c>
      <c r="C55" s="21" t="s">
        <v>1016</v>
      </c>
    </row>
    <row r="56" spans="1:3" ht="12" x14ac:dyDescent="0.15">
      <c r="A56" s="25">
        <v>56</v>
      </c>
      <c r="B56" s="56" t="str">
        <f t="shared" si="2"/>
        <v>4056</v>
      </c>
      <c r="C56" s="21" t="s">
        <v>1017</v>
      </c>
    </row>
    <row r="57" spans="1:3" ht="12" x14ac:dyDescent="0.15">
      <c r="A57" s="25">
        <v>57</v>
      </c>
      <c r="B57" s="56" t="str">
        <f t="shared" si="2"/>
        <v>4057</v>
      </c>
      <c r="C57" s="21" t="s">
        <v>1018</v>
      </c>
    </row>
    <row r="58" spans="1:3" ht="12" x14ac:dyDescent="0.15">
      <c r="A58" s="25">
        <v>58</v>
      </c>
      <c r="B58" s="56" t="str">
        <f t="shared" si="2"/>
        <v>4058</v>
      </c>
      <c r="C58" s="21" t="s">
        <v>1019</v>
      </c>
    </row>
    <row r="59" spans="1:3" ht="12" x14ac:dyDescent="0.15">
      <c r="A59" s="25">
        <v>59</v>
      </c>
      <c r="B59" s="56" t="str">
        <f t="shared" si="2"/>
        <v>4059</v>
      </c>
      <c r="C59" s="21" t="s">
        <v>233</v>
      </c>
    </row>
    <row r="60" spans="1:3" ht="12" x14ac:dyDescent="0.15">
      <c r="A60" s="25">
        <v>60</v>
      </c>
      <c r="B60" s="56" t="str">
        <f t="shared" si="2"/>
        <v>4060</v>
      </c>
      <c r="C60" s="21" t="s">
        <v>1020</v>
      </c>
    </row>
    <row r="61" spans="1:3" ht="12" x14ac:dyDescent="0.15">
      <c r="A61" s="25">
        <v>61</v>
      </c>
      <c r="B61" s="56" t="str">
        <f t="shared" si="2"/>
        <v>4061</v>
      </c>
      <c r="C61" s="21" t="s">
        <v>1021</v>
      </c>
    </row>
    <row r="62" spans="1:3" ht="12" x14ac:dyDescent="0.15">
      <c r="A62" s="25">
        <v>62</v>
      </c>
      <c r="B62" s="56" t="str">
        <f t="shared" si="2"/>
        <v>4062</v>
      </c>
      <c r="C62" s="21" t="s">
        <v>1022</v>
      </c>
    </row>
    <row r="63" spans="1:3" ht="12" x14ac:dyDescent="0.15">
      <c r="A63" s="25">
        <v>63</v>
      </c>
      <c r="B63" s="56" t="str">
        <f t="shared" si="2"/>
        <v>4063</v>
      </c>
      <c r="C63" s="21" t="s">
        <v>1023</v>
      </c>
    </row>
    <row r="64" spans="1:3" ht="12" x14ac:dyDescent="0.15">
      <c r="A64" s="25">
        <v>64</v>
      </c>
      <c r="B64" s="56" t="str">
        <f t="shared" si="2"/>
        <v>4064</v>
      </c>
      <c r="C64" s="21" t="s">
        <v>1024</v>
      </c>
    </row>
    <row r="65" spans="1:3" ht="12" x14ac:dyDescent="0.15">
      <c r="A65" s="25">
        <v>65</v>
      </c>
      <c r="B65" s="56" t="str">
        <f t="shared" si="2"/>
        <v>4065</v>
      </c>
      <c r="C65" s="21" t="s">
        <v>936</v>
      </c>
    </row>
    <row r="66" spans="1:3" ht="12" x14ac:dyDescent="0.15">
      <c r="A66" s="25">
        <v>66</v>
      </c>
      <c r="B66" s="56" t="str">
        <f t="shared" si="2"/>
        <v>4066</v>
      </c>
      <c r="C66" s="21" t="s">
        <v>1025</v>
      </c>
    </row>
    <row r="67" spans="1:3" ht="12" x14ac:dyDescent="0.15">
      <c r="A67" s="25">
        <v>67</v>
      </c>
      <c r="B67" s="56" t="str">
        <f t="shared" si="2"/>
        <v>4067</v>
      </c>
      <c r="C67" s="21" t="s">
        <v>1026</v>
      </c>
    </row>
    <row r="68" spans="1:3" ht="12" x14ac:dyDescent="0.15">
      <c r="A68" s="25">
        <v>68</v>
      </c>
      <c r="B68" s="56" t="str">
        <f t="shared" si="2"/>
        <v>4068</v>
      </c>
      <c r="C68" s="21" t="s">
        <v>1027</v>
      </c>
    </row>
    <row r="69" spans="1:3" ht="12" x14ac:dyDescent="0.15">
      <c r="A69" s="25">
        <v>70</v>
      </c>
      <c r="B69" s="56" t="str">
        <f t="shared" ref="B69" si="3">10&amp;A69</f>
        <v>1070</v>
      </c>
      <c r="C69" s="21" t="s">
        <v>1131</v>
      </c>
    </row>
    <row r="70" spans="1:3" ht="12" x14ac:dyDescent="0.15">
      <c r="A70" s="25">
        <v>72</v>
      </c>
      <c r="B70" s="56" t="str">
        <f t="shared" si="2"/>
        <v>4072</v>
      </c>
      <c r="C70" s="21" t="s">
        <v>1028</v>
      </c>
    </row>
    <row r="71" spans="1:3" ht="12" x14ac:dyDescent="0.15">
      <c r="A71" s="25">
        <v>73</v>
      </c>
      <c r="B71" s="56" t="str">
        <f>10&amp;A71</f>
        <v>1073</v>
      </c>
      <c r="C71" s="21" t="s">
        <v>1029</v>
      </c>
    </row>
    <row r="72" spans="1:3" ht="12" x14ac:dyDescent="0.15">
      <c r="A72" s="25">
        <v>74</v>
      </c>
      <c r="B72" s="56" t="str">
        <f>10&amp;A72</f>
        <v>1074</v>
      </c>
      <c r="C72" s="21" t="s">
        <v>1030</v>
      </c>
    </row>
    <row r="73" spans="1:3" ht="12" x14ac:dyDescent="0.15">
      <c r="A73" s="25">
        <v>77</v>
      </c>
      <c r="B73" s="56" t="str">
        <f>40&amp;A73</f>
        <v>4077</v>
      </c>
      <c r="C73" s="21" t="s">
        <v>1031</v>
      </c>
    </row>
    <row r="74" spans="1:3" ht="12" x14ac:dyDescent="0.15">
      <c r="A74" s="25">
        <v>78</v>
      </c>
      <c r="B74" s="56" t="str">
        <f t="shared" ref="B74:B75" si="4">40&amp;A74</f>
        <v>4078</v>
      </c>
      <c r="C74" s="21" t="s">
        <v>1032</v>
      </c>
    </row>
    <row r="75" spans="1:3" ht="12" x14ac:dyDescent="0.15">
      <c r="A75" s="25">
        <v>79</v>
      </c>
      <c r="B75" s="56" t="str">
        <f t="shared" si="4"/>
        <v>4079</v>
      </c>
      <c r="C75" s="21" t="s">
        <v>1033</v>
      </c>
    </row>
    <row r="76" spans="1:3" ht="12" x14ac:dyDescent="0.15">
      <c r="A76" s="25">
        <v>80</v>
      </c>
      <c r="B76" s="56" t="str">
        <f>60&amp;A76</f>
        <v>6080</v>
      </c>
      <c r="C76" s="21" t="s">
        <v>1034</v>
      </c>
    </row>
    <row r="77" spans="1:3" ht="12" x14ac:dyDescent="0.15">
      <c r="A77" s="25">
        <v>81</v>
      </c>
      <c r="B77" s="56" t="str">
        <f t="shared" ref="B77:B95" si="5">60&amp;A77</f>
        <v>6081</v>
      </c>
      <c r="C77" s="21" t="s">
        <v>1035</v>
      </c>
    </row>
    <row r="78" spans="1:3" ht="12" x14ac:dyDescent="0.15">
      <c r="A78" s="25">
        <v>82</v>
      </c>
      <c r="B78" s="56" t="str">
        <f t="shared" si="5"/>
        <v>6082</v>
      </c>
      <c r="C78" s="21" t="s">
        <v>1036</v>
      </c>
    </row>
    <row r="79" spans="1:3" ht="12" x14ac:dyDescent="0.15">
      <c r="A79" s="25">
        <v>83</v>
      </c>
      <c r="B79" s="56" t="str">
        <f t="shared" si="5"/>
        <v>6083</v>
      </c>
      <c r="C79" s="21" t="s">
        <v>1037</v>
      </c>
    </row>
    <row r="80" spans="1:3" ht="12" x14ac:dyDescent="0.15">
      <c r="A80" s="25">
        <v>84</v>
      </c>
      <c r="B80" s="56" t="str">
        <f t="shared" si="5"/>
        <v>6084</v>
      </c>
      <c r="C80" s="21" t="s">
        <v>1038</v>
      </c>
    </row>
    <row r="81" spans="1:3" ht="12" x14ac:dyDescent="0.15">
      <c r="A81" s="25">
        <v>85</v>
      </c>
      <c r="B81" s="56" t="str">
        <f t="shared" si="5"/>
        <v>6085</v>
      </c>
      <c r="C81" s="21" t="s">
        <v>1039</v>
      </c>
    </row>
    <row r="82" spans="1:3" ht="12" x14ac:dyDescent="0.15">
      <c r="A82" s="25">
        <v>86</v>
      </c>
      <c r="B82" s="56" t="str">
        <f t="shared" si="5"/>
        <v>6086</v>
      </c>
      <c r="C82" s="21" t="s">
        <v>1040</v>
      </c>
    </row>
    <row r="83" spans="1:3" ht="12" x14ac:dyDescent="0.15">
      <c r="A83" s="25">
        <v>87</v>
      </c>
      <c r="B83" s="56" t="str">
        <f t="shared" si="5"/>
        <v>6087</v>
      </c>
      <c r="C83" s="21" t="s">
        <v>1041</v>
      </c>
    </row>
    <row r="84" spans="1:3" ht="12" x14ac:dyDescent="0.15">
      <c r="A84" s="25">
        <v>88</v>
      </c>
      <c r="B84" s="56" t="str">
        <f t="shared" si="5"/>
        <v>6088</v>
      </c>
      <c r="C84" s="21" t="s">
        <v>1042</v>
      </c>
    </row>
    <row r="85" spans="1:3" ht="12" x14ac:dyDescent="0.15">
      <c r="A85" s="25">
        <v>89</v>
      </c>
      <c r="B85" s="56" t="str">
        <f t="shared" si="5"/>
        <v>6089</v>
      </c>
      <c r="C85" s="21" t="s">
        <v>1043</v>
      </c>
    </row>
    <row r="86" spans="1:3" ht="12" x14ac:dyDescent="0.15">
      <c r="A86" s="25">
        <v>90</v>
      </c>
      <c r="B86" s="56" t="str">
        <f t="shared" si="5"/>
        <v>6090</v>
      </c>
      <c r="C86" s="21" t="s">
        <v>1044</v>
      </c>
    </row>
    <row r="87" spans="1:3" ht="12" x14ac:dyDescent="0.15">
      <c r="A87" s="25">
        <v>91</v>
      </c>
      <c r="B87" s="56" t="str">
        <f t="shared" si="5"/>
        <v>6091</v>
      </c>
      <c r="C87" s="21" t="s">
        <v>1045</v>
      </c>
    </row>
    <row r="88" spans="1:3" ht="12" x14ac:dyDescent="0.15">
      <c r="A88" s="25">
        <v>92</v>
      </c>
      <c r="B88" s="56" t="str">
        <f t="shared" si="5"/>
        <v>6092</v>
      </c>
      <c r="C88" s="21" t="s">
        <v>1046</v>
      </c>
    </row>
    <row r="89" spans="1:3" ht="12" x14ac:dyDescent="0.15">
      <c r="A89" s="25">
        <v>93</v>
      </c>
      <c r="B89" s="56" t="str">
        <f t="shared" si="5"/>
        <v>6093</v>
      </c>
      <c r="C89" s="21" t="s">
        <v>1047</v>
      </c>
    </row>
    <row r="90" spans="1:3" ht="12" x14ac:dyDescent="0.15">
      <c r="A90" s="25">
        <v>94</v>
      </c>
      <c r="B90" s="56" t="str">
        <f t="shared" si="5"/>
        <v>6094</v>
      </c>
      <c r="C90" s="21" t="s">
        <v>1048</v>
      </c>
    </row>
    <row r="91" spans="1:3" ht="12" x14ac:dyDescent="0.15">
      <c r="A91" s="25">
        <v>95</v>
      </c>
      <c r="B91" s="56" t="str">
        <f t="shared" si="5"/>
        <v>6095</v>
      </c>
      <c r="C91" s="21" t="s">
        <v>1049</v>
      </c>
    </row>
    <row r="92" spans="1:3" ht="12" x14ac:dyDescent="0.15">
      <c r="A92" s="25">
        <v>96</v>
      </c>
      <c r="B92" s="56" t="str">
        <f t="shared" si="5"/>
        <v>6096</v>
      </c>
      <c r="C92" s="21" t="s">
        <v>1050</v>
      </c>
    </row>
    <row r="93" spans="1:3" ht="12" x14ac:dyDescent="0.15">
      <c r="A93" s="25">
        <v>97</v>
      </c>
      <c r="B93" s="56" t="str">
        <f t="shared" si="5"/>
        <v>6097</v>
      </c>
      <c r="C93" s="21" t="s">
        <v>1051</v>
      </c>
    </row>
    <row r="94" spans="1:3" ht="12" x14ac:dyDescent="0.15">
      <c r="A94" s="25">
        <v>98</v>
      </c>
      <c r="B94" s="56" t="str">
        <f t="shared" si="5"/>
        <v>6098</v>
      </c>
      <c r="C94" s="21" t="s">
        <v>1052</v>
      </c>
    </row>
    <row r="95" spans="1:3" ht="12" x14ac:dyDescent="0.15">
      <c r="A95" s="25">
        <v>99</v>
      </c>
      <c r="B95" s="56" t="str">
        <f t="shared" si="5"/>
        <v>6099</v>
      </c>
      <c r="C95" s="21" t="s">
        <v>1053</v>
      </c>
    </row>
    <row r="96" spans="1:3" ht="12" x14ac:dyDescent="0.15">
      <c r="A96" s="25">
        <v>100</v>
      </c>
      <c r="B96" s="56" t="str">
        <f>6&amp;A96</f>
        <v>6100</v>
      </c>
      <c r="C96" s="21" t="s">
        <v>1054</v>
      </c>
    </row>
    <row r="97" spans="1:3" ht="12" x14ac:dyDescent="0.15">
      <c r="A97" s="25">
        <v>101</v>
      </c>
      <c r="B97" s="56" t="str">
        <f t="shared" ref="B97:B100" si="6">6&amp;A97</f>
        <v>6101</v>
      </c>
      <c r="C97" s="21" t="s">
        <v>1055</v>
      </c>
    </row>
    <row r="98" spans="1:3" ht="12" x14ac:dyDescent="0.15">
      <c r="A98" s="25">
        <v>102</v>
      </c>
      <c r="B98" s="56" t="str">
        <f t="shared" si="6"/>
        <v>6102</v>
      </c>
      <c r="C98" s="21" t="s">
        <v>1056</v>
      </c>
    </row>
    <row r="99" spans="1:3" ht="12" x14ac:dyDescent="0.15">
      <c r="A99" s="25">
        <v>103</v>
      </c>
      <c r="B99" s="56" t="str">
        <f t="shared" si="6"/>
        <v>6103</v>
      </c>
      <c r="C99" s="21" t="s">
        <v>9</v>
      </c>
    </row>
    <row r="100" spans="1:3" ht="12" x14ac:dyDescent="0.15">
      <c r="A100" s="25">
        <v>104</v>
      </c>
      <c r="B100" s="56" t="str">
        <f t="shared" si="6"/>
        <v>6104</v>
      </c>
      <c r="C100" s="21" t="s">
        <v>1057</v>
      </c>
    </row>
    <row r="101" spans="1:3" ht="12" x14ac:dyDescent="0.15">
      <c r="A101" s="25">
        <v>110</v>
      </c>
      <c r="B101" s="56" t="str">
        <f>7&amp;A101</f>
        <v>7110</v>
      </c>
      <c r="C101" s="21" t="s">
        <v>1058</v>
      </c>
    </row>
    <row r="102" spans="1:3" ht="12" x14ac:dyDescent="0.15">
      <c r="A102" s="25">
        <v>111</v>
      </c>
      <c r="B102" s="56" t="str">
        <f t="shared" ref="B102:B113" si="7">7&amp;A102</f>
        <v>7111</v>
      </c>
      <c r="C102" s="21" t="s">
        <v>1059</v>
      </c>
    </row>
    <row r="103" spans="1:3" ht="12" x14ac:dyDescent="0.15">
      <c r="A103" s="25">
        <v>112</v>
      </c>
      <c r="B103" s="56" t="str">
        <f t="shared" si="7"/>
        <v>7112</v>
      </c>
      <c r="C103" s="21" t="s">
        <v>1060</v>
      </c>
    </row>
    <row r="104" spans="1:3" ht="12" x14ac:dyDescent="0.15">
      <c r="A104" s="25">
        <v>113</v>
      </c>
      <c r="B104" s="56" t="str">
        <f t="shared" si="7"/>
        <v>7113</v>
      </c>
      <c r="C104" s="21" t="s">
        <v>1061</v>
      </c>
    </row>
    <row r="105" spans="1:3" ht="12" x14ac:dyDescent="0.15">
      <c r="A105" s="25">
        <v>114</v>
      </c>
      <c r="B105" s="56" t="str">
        <f t="shared" si="7"/>
        <v>7114</v>
      </c>
      <c r="C105" s="21" t="s">
        <v>1062</v>
      </c>
    </row>
    <row r="106" spans="1:3" ht="12" x14ac:dyDescent="0.15">
      <c r="A106" s="25">
        <v>115</v>
      </c>
      <c r="B106" s="56" t="str">
        <f t="shared" si="7"/>
        <v>7115</v>
      </c>
      <c r="C106" s="21" t="s">
        <v>1063</v>
      </c>
    </row>
    <row r="107" spans="1:3" ht="12" x14ac:dyDescent="0.15">
      <c r="A107" s="25">
        <v>116</v>
      </c>
      <c r="B107" s="56" t="str">
        <f t="shared" si="7"/>
        <v>7116</v>
      </c>
      <c r="C107" s="21" t="s">
        <v>1064</v>
      </c>
    </row>
    <row r="108" spans="1:3" ht="12" x14ac:dyDescent="0.15">
      <c r="A108" s="25">
        <v>117</v>
      </c>
      <c r="B108" s="56" t="str">
        <f t="shared" si="7"/>
        <v>7117</v>
      </c>
      <c r="C108" s="21" t="s">
        <v>1065</v>
      </c>
    </row>
    <row r="109" spans="1:3" ht="12" x14ac:dyDescent="0.15">
      <c r="A109" s="25">
        <v>118</v>
      </c>
      <c r="B109" s="56" t="str">
        <f t="shared" si="7"/>
        <v>7118</v>
      </c>
      <c r="C109" s="21" t="s">
        <v>1066</v>
      </c>
    </row>
    <row r="110" spans="1:3" ht="12" x14ac:dyDescent="0.15">
      <c r="A110" s="25">
        <v>119</v>
      </c>
      <c r="B110" s="56" t="str">
        <f t="shared" si="7"/>
        <v>7119</v>
      </c>
      <c r="C110" s="21" t="s">
        <v>1067</v>
      </c>
    </row>
    <row r="111" spans="1:3" ht="12" x14ac:dyDescent="0.15">
      <c r="A111" s="25">
        <v>120</v>
      </c>
      <c r="B111" s="56" t="str">
        <f t="shared" si="7"/>
        <v>7120</v>
      </c>
      <c r="C111" s="21" t="s">
        <v>1068</v>
      </c>
    </row>
    <row r="112" spans="1:3" ht="12" x14ac:dyDescent="0.15">
      <c r="A112" s="25">
        <v>121</v>
      </c>
      <c r="B112" s="56" t="str">
        <f t="shared" si="7"/>
        <v>7121</v>
      </c>
      <c r="C112" s="21" t="s">
        <v>1069</v>
      </c>
    </row>
    <row r="113" spans="1:3" ht="12" x14ac:dyDescent="0.15">
      <c r="A113" s="25">
        <v>122</v>
      </c>
      <c r="B113" s="56" t="str">
        <f t="shared" si="7"/>
        <v>7122</v>
      </c>
      <c r="C113" s="21" t="s">
        <v>1070</v>
      </c>
    </row>
    <row r="114" spans="1:3" ht="12" x14ac:dyDescent="0.15">
      <c r="A114" s="25">
        <v>125</v>
      </c>
      <c r="B114" s="56" t="str">
        <f>1&amp;A114</f>
        <v>1125</v>
      </c>
      <c r="C114" s="21" t="s">
        <v>1071</v>
      </c>
    </row>
    <row r="115" spans="1:3" ht="12" x14ac:dyDescent="0.15">
      <c r="A115" s="25">
        <v>126</v>
      </c>
      <c r="B115" s="56" t="str">
        <f t="shared" ref="B115:B145" si="8">1&amp;A115</f>
        <v>1126</v>
      </c>
      <c r="C115" s="21" t="s">
        <v>1128</v>
      </c>
    </row>
    <row r="116" spans="1:3" ht="12" x14ac:dyDescent="0.15">
      <c r="A116" s="25">
        <v>127</v>
      </c>
      <c r="B116" s="56" t="str">
        <f t="shared" si="8"/>
        <v>1127</v>
      </c>
      <c r="C116" s="21" t="s">
        <v>1130</v>
      </c>
    </row>
    <row r="117" spans="1:3" ht="12" x14ac:dyDescent="0.15">
      <c r="A117" s="25">
        <v>128</v>
      </c>
      <c r="B117" s="56" t="str">
        <f t="shared" si="8"/>
        <v>1128</v>
      </c>
      <c r="C117" s="21" t="s">
        <v>1072</v>
      </c>
    </row>
    <row r="118" spans="1:3" ht="12" x14ac:dyDescent="0.15">
      <c r="A118" s="25">
        <v>129</v>
      </c>
      <c r="B118" s="56" t="str">
        <f t="shared" si="8"/>
        <v>1129</v>
      </c>
      <c r="C118" s="21" t="s">
        <v>1073</v>
      </c>
    </row>
    <row r="119" spans="1:3" ht="12" x14ac:dyDescent="0.15">
      <c r="A119" s="25">
        <v>130</v>
      </c>
      <c r="B119" s="56" t="str">
        <f t="shared" si="8"/>
        <v>1130</v>
      </c>
      <c r="C119" s="21" t="s">
        <v>1074</v>
      </c>
    </row>
    <row r="120" spans="1:3" ht="12" x14ac:dyDescent="0.15">
      <c r="A120" s="25">
        <v>131</v>
      </c>
      <c r="B120" s="56" t="str">
        <f t="shared" si="8"/>
        <v>1131</v>
      </c>
      <c r="C120" s="21" t="s">
        <v>1075</v>
      </c>
    </row>
    <row r="121" spans="1:3" ht="12" x14ac:dyDescent="0.15">
      <c r="A121" s="25">
        <v>132</v>
      </c>
      <c r="B121" s="56" t="str">
        <f t="shared" si="8"/>
        <v>1132</v>
      </c>
      <c r="C121" s="21" t="s">
        <v>1076</v>
      </c>
    </row>
    <row r="122" spans="1:3" ht="12" x14ac:dyDescent="0.15">
      <c r="A122" s="25">
        <v>133</v>
      </c>
      <c r="B122" s="56" t="str">
        <f t="shared" si="8"/>
        <v>1133</v>
      </c>
      <c r="C122" s="21" t="s">
        <v>1077</v>
      </c>
    </row>
    <row r="123" spans="1:3" ht="12" x14ac:dyDescent="0.15">
      <c r="A123" s="25">
        <v>134</v>
      </c>
      <c r="B123" s="56" t="str">
        <f t="shared" si="8"/>
        <v>1134</v>
      </c>
      <c r="C123" s="21" t="s">
        <v>1078</v>
      </c>
    </row>
    <row r="124" spans="1:3" ht="12" x14ac:dyDescent="0.15">
      <c r="A124" s="25">
        <v>135</v>
      </c>
      <c r="B124" s="56" t="str">
        <f t="shared" si="8"/>
        <v>1135</v>
      </c>
      <c r="C124" s="21" t="s">
        <v>1079</v>
      </c>
    </row>
    <row r="125" spans="1:3" ht="12" x14ac:dyDescent="0.15">
      <c r="A125" s="25">
        <v>136</v>
      </c>
      <c r="B125" s="56" t="str">
        <f t="shared" si="8"/>
        <v>1136</v>
      </c>
      <c r="C125" s="21" t="s">
        <v>1080</v>
      </c>
    </row>
    <row r="126" spans="1:3" ht="12" x14ac:dyDescent="0.15">
      <c r="A126" s="25">
        <v>137</v>
      </c>
      <c r="B126" s="56" t="str">
        <f t="shared" si="8"/>
        <v>1137</v>
      </c>
      <c r="C126" s="21" t="s">
        <v>1081</v>
      </c>
    </row>
    <row r="127" spans="1:3" ht="12" x14ac:dyDescent="0.15">
      <c r="A127" s="25">
        <v>138</v>
      </c>
      <c r="B127" s="56" t="str">
        <f t="shared" si="8"/>
        <v>1138</v>
      </c>
      <c r="C127" s="21" t="s">
        <v>1082</v>
      </c>
    </row>
    <row r="128" spans="1:3" ht="12" x14ac:dyDescent="0.15">
      <c r="A128" s="25">
        <v>139</v>
      </c>
      <c r="B128" s="56" t="str">
        <f t="shared" si="8"/>
        <v>1139</v>
      </c>
      <c r="C128" s="21" t="s">
        <v>1083</v>
      </c>
    </row>
    <row r="129" spans="1:3" ht="12" x14ac:dyDescent="0.15">
      <c r="A129" s="25">
        <v>140</v>
      </c>
      <c r="B129" s="56" t="str">
        <f t="shared" si="8"/>
        <v>1140</v>
      </c>
      <c r="C129" s="21" t="s">
        <v>1084</v>
      </c>
    </row>
    <row r="130" spans="1:3" ht="12" x14ac:dyDescent="0.15">
      <c r="A130" s="25">
        <v>141</v>
      </c>
      <c r="B130" s="56" t="str">
        <f t="shared" si="8"/>
        <v>1141</v>
      </c>
      <c r="C130" s="21" t="s">
        <v>1085</v>
      </c>
    </row>
    <row r="131" spans="1:3" ht="12" x14ac:dyDescent="0.15">
      <c r="A131" s="25">
        <v>142</v>
      </c>
      <c r="B131" s="56" t="str">
        <f t="shared" si="8"/>
        <v>1142</v>
      </c>
      <c r="C131" s="21" t="s">
        <v>1086</v>
      </c>
    </row>
    <row r="132" spans="1:3" ht="12" x14ac:dyDescent="0.15">
      <c r="A132" s="25">
        <v>143</v>
      </c>
      <c r="B132" s="56" t="str">
        <f t="shared" si="8"/>
        <v>1143</v>
      </c>
      <c r="C132" s="21" t="s">
        <v>1087</v>
      </c>
    </row>
    <row r="133" spans="1:3" ht="12" x14ac:dyDescent="0.15">
      <c r="A133" s="25">
        <v>144</v>
      </c>
      <c r="B133" s="56" t="str">
        <f t="shared" si="8"/>
        <v>1144</v>
      </c>
      <c r="C133" s="21" t="s">
        <v>1088</v>
      </c>
    </row>
    <row r="134" spans="1:3" ht="12" x14ac:dyDescent="0.15">
      <c r="A134" s="25">
        <v>145</v>
      </c>
      <c r="B134" s="56" t="str">
        <f t="shared" si="8"/>
        <v>1145</v>
      </c>
      <c r="C134" s="21" t="s">
        <v>1089</v>
      </c>
    </row>
    <row r="135" spans="1:3" ht="12" x14ac:dyDescent="0.15">
      <c r="A135" s="25">
        <v>146</v>
      </c>
      <c r="B135" s="56" t="str">
        <f t="shared" si="8"/>
        <v>1146</v>
      </c>
      <c r="C135" s="21" t="s">
        <v>1090</v>
      </c>
    </row>
    <row r="136" spans="1:3" ht="12" x14ac:dyDescent="0.15">
      <c r="A136" s="25">
        <v>147</v>
      </c>
      <c r="B136" s="56" t="str">
        <f t="shared" si="8"/>
        <v>1147</v>
      </c>
      <c r="C136" s="21" t="s">
        <v>1091</v>
      </c>
    </row>
    <row r="137" spans="1:3" ht="12" x14ac:dyDescent="0.15">
      <c r="A137" s="25">
        <v>148</v>
      </c>
      <c r="B137" s="56" t="str">
        <f t="shared" si="8"/>
        <v>1148</v>
      </c>
      <c r="C137" s="21" t="s">
        <v>1092</v>
      </c>
    </row>
    <row r="138" spans="1:3" ht="12" x14ac:dyDescent="0.15">
      <c r="A138" s="25">
        <v>149</v>
      </c>
      <c r="B138" s="56" t="str">
        <f t="shared" si="8"/>
        <v>1149</v>
      </c>
      <c r="C138" s="21" t="s">
        <v>1093</v>
      </c>
    </row>
    <row r="139" spans="1:3" ht="12" x14ac:dyDescent="0.15">
      <c r="A139" s="25">
        <v>150</v>
      </c>
      <c r="B139" s="56" t="str">
        <f t="shared" si="8"/>
        <v>1150</v>
      </c>
      <c r="C139" s="21" t="s">
        <v>1094</v>
      </c>
    </row>
    <row r="140" spans="1:3" ht="12" x14ac:dyDescent="0.15">
      <c r="A140" s="25">
        <v>151</v>
      </c>
      <c r="B140" s="56" t="str">
        <f t="shared" si="8"/>
        <v>1151</v>
      </c>
      <c r="C140" s="21" t="s">
        <v>1095</v>
      </c>
    </row>
    <row r="141" spans="1:3" ht="12" x14ac:dyDescent="0.15">
      <c r="A141" s="25">
        <v>152</v>
      </c>
      <c r="B141" s="56" t="str">
        <f t="shared" si="8"/>
        <v>1152</v>
      </c>
      <c r="C141" s="21" t="s">
        <v>1096</v>
      </c>
    </row>
    <row r="142" spans="1:3" ht="12" x14ac:dyDescent="0.15">
      <c r="A142" s="25">
        <v>153</v>
      </c>
      <c r="B142" s="56" t="str">
        <f t="shared" si="8"/>
        <v>1153</v>
      </c>
      <c r="C142" s="21" t="s">
        <v>1097</v>
      </c>
    </row>
    <row r="143" spans="1:3" ht="12" x14ac:dyDescent="0.15">
      <c r="A143" s="25">
        <v>154</v>
      </c>
      <c r="B143" s="56" t="str">
        <f t="shared" si="8"/>
        <v>1154</v>
      </c>
      <c r="C143" s="21" t="s">
        <v>1098</v>
      </c>
    </row>
    <row r="144" spans="1:3" ht="12" x14ac:dyDescent="0.15">
      <c r="A144" s="25">
        <v>155</v>
      </c>
      <c r="B144" s="56" t="str">
        <f t="shared" si="8"/>
        <v>1155</v>
      </c>
      <c r="C144" s="21" t="s">
        <v>1099</v>
      </c>
    </row>
    <row r="145" spans="1:3" ht="12" x14ac:dyDescent="0.15">
      <c r="A145" s="25">
        <v>156</v>
      </c>
      <c r="B145" s="56" t="str">
        <f t="shared" si="8"/>
        <v>1156</v>
      </c>
      <c r="C145" s="21" t="s">
        <v>1100</v>
      </c>
    </row>
    <row r="146" spans="1:3" ht="12" x14ac:dyDescent="0.15">
      <c r="A146" s="25">
        <v>157</v>
      </c>
      <c r="B146" s="56" t="str">
        <f>4&amp;A146</f>
        <v>4157</v>
      </c>
      <c r="C146" s="21" t="s">
        <v>1101</v>
      </c>
    </row>
    <row r="147" spans="1:3" ht="12" x14ac:dyDescent="0.15">
      <c r="A147" s="25">
        <v>158</v>
      </c>
      <c r="B147" s="56" t="str">
        <f t="shared" ref="B147:B157" si="9">4&amp;A147</f>
        <v>4158</v>
      </c>
      <c r="C147" s="21" t="s">
        <v>1102</v>
      </c>
    </row>
    <row r="148" spans="1:3" ht="12" x14ac:dyDescent="0.15">
      <c r="A148" s="25">
        <v>159</v>
      </c>
      <c r="B148" s="56" t="str">
        <f t="shared" si="9"/>
        <v>4159</v>
      </c>
      <c r="C148" s="21" t="s">
        <v>1103</v>
      </c>
    </row>
    <row r="149" spans="1:3" ht="12" x14ac:dyDescent="0.15">
      <c r="A149" s="25">
        <v>160</v>
      </c>
      <c r="B149" s="56" t="str">
        <f t="shared" si="9"/>
        <v>4160</v>
      </c>
      <c r="C149" s="21" t="s">
        <v>1104</v>
      </c>
    </row>
    <row r="150" spans="1:3" ht="12" x14ac:dyDescent="0.15">
      <c r="A150" s="25">
        <v>161</v>
      </c>
      <c r="B150" s="56" t="str">
        <f t="shared" si="9"/>
        <v>4161</v>
      </c>
      <c r="C150" s="21" t="s">
        <v>1105</v>
      </c>
    </row>
    <row r="151" spans="1:3" ht="12" x14ac:dyDescent="0.15">
      <c r="A151" s="25">
        <v>162</v>
      </c>
      <c r="B151" s="56" t="str">
        <f t="shared" si="9"/>
        <v>4162</v>
      </c>
      <c r="C151" s="21" t="s">
        <v>1106</v>
      </c>
    </row>
    <row r="152" spans="1:3" ht="12" x14ac:dyDescent="0.15">
      <c r="A152" s="25">
        <v>163</v>
      </c>
      <c r="B152" s="56" t="str">
        <f t="shared" si="9"/>
        <v>4163</v>
      </c>
      <c r="C152" s="21" t="s">
        <v>1107</v>
      </c>
    </row>
    <row r="153" spans="1:3" ht="12" x14ac:dyDescent="0.15">
      <c r="A153" s="25">
        <v>164</v>
      </c>
      <c r="B153" s="56" t="str">
        <f t="shared" si="9"/>
        <v>4164</v>
      </c>
      <c r="C153" s="21" t="s">
        <v>1108</v>
      </c>
    </row>
    <row r="154" spans="1:3" ht="12" x14ac:dyDescent="0.15">
      <c r="A154" s="25">
        <v>165</v>
      </c>
      <c r="B154" s="56" t="str">
        <f t="shared" si="9"/>
        <v>4165</v>
      </c>
      <c r="C154" s="21" t="s">
        <v>1109</v>
      </c>
    </row>
    <row r="155" spans="1:3" ht="12" x14ac:dyDescent="0.15">
      <c r="A155" s="25">
        <v>166</v>
      </c>
      <c r="B155" s="56" t="str">
        <f t="shared" si="9"/>
        <v>4166</v>
      </c>
      <c r="C155" s="21" t="s">
        <v>1110</v>
      </c>
    </row>
    <row r="156" spans="1:3" ht="12" x14ac:dyDescent="0.15">
      <c r="A156" s="25">
        <v>167</v>
      </c>
      <c r="B156" s="56" t="str">
        <f t="shared" si="9"/>
        <v>4167</v>
      </c>
      <c r="C156" s="21" t="s">
        <v>1111</v>
      </c>
    </row>
    <row r="157" spans="1:3" ht="12" x14ac:dyDescent="0.15">
      <c r="A157" s="25">
        <v>168</v>
      </c>
      <c r="B157" s="56" t="str">
        <f t="shared" si="9"/>
        <v>4168</v>
      </c>
      <c r="C157" s="21" t="s">
        <v>1112</v>
      </c>
    </row>
    <row r="158" spans="1:3" ht="12" x14ac:dyDescent="0.15">
      <c r="A158" s="25">
        <v>170</v>
      </c>
      <c r="B158" s="56" t="str">
        <f t="shared" ref="B158:B160" si="10">1&amp;A158</f>
        <v>1170</v>
      </c>
      <c r="C158" s="21" t="s">
        <v>1132</v>
      </c>
    </row>
    <row r="159" spans="1:3" ht="12" x14ac:dyDescent="0.15">
      <c r="A159" s="25">
        <v>171</v>
      </c>
      <c r="B159" s="56" t="str">
        <f t="shared" si="10"/>
        <v>1171</v>
      </c>
      <c r="C159" s="21" t="s">
        <v>1133</v>
      </c>
    </row>
    <row r="160" spans="1:3" ht="12" x14ac:dyDescent="0.15">
      <c r="A160" s="25">
        <v>172</v>
      </c>
      <c r="B160" s="56" t="str">
        <f t="shared" si="10"/>
        <v>1172</v>
      </c>
      <c r="C160" s="21" t="s">
        <v>1134</v>
      </c>
    </row>
    <row r="161" spans="1:3" ht="12" x14ac:dyDescent="0.15">
      <c r="A161" s="25">
        <v>173</v>
      </c>
      <c r="B161" s="56" t="str">
        <f t="shared" ref="B161:B171" si="11">1&amp;A161</f>
        <v>1173</v>
      </c>
      <c r="C161" s="21" t="s">
        <v>1113</v>
      </c>
    </row>
    <row r="162" spans="1:3" ht="12" x14ac:dyDescent="0.15">
      <c r="A162" s="25">
        <v>174</v>
      </c>
      <c r="B162" s="56" t="str">
        <f t="shared" si="11"/>
        <v>1174</v>
      </c>
      <c r="C162" s="21" t="s">
        <v>1114</v>
      </c>
    </row>
    <row r="163" spans="1:3" ht="12" x14ac:dyDescent="0.15">
      <c r="A163" s="25">
        <v>175</v>
      </c>
      <c r="B163" s="56" t="str">
        <f t="shared" si="11"/>
        <v>1175</v>
      </c>
      <c r="C163" s="21" t="s">
        <v>1115</v>
      </c>
    </row>
    <row r="164" spans="1:3" ht="12" x14ac:dyDescent="0.15">
      <c r="A164" s="25">
        <v>180</v>
      </c>
      <c r="B164" s="56" t="str">
        <f t="shared" si="11"/>
        <v>1180</v>
      </c>
      <c r="C164" s="21" t="s">
        <v>1116</v>
      </c>
    </row>
    <row r="165" spans="1:3" ht="12" x14ac:dyDescent="0.15">
      <c r="A165" s="25">
        <v>181</v>
      </c>
      <c r="B165" s="56" t="str">
        <f t="shared" si="11"/>
        <v>1181</v>
      </c>
      <c r="C165" s="21" t="s">
        <v>1117</v>
      </c>
    </row>
    <row r="166" spans="1:3" ht="12" x14ac:dyDescent="0.15">
      <c r="A166" s="25">
        <v>182</v>
      </c>
      <c r="B166" s="56" t="str">
        <f t="shared" si="11"/>
        <v>1182</v>
      </c>
      <c r="C166" s="21" t="s">
        <v>1118</v>
      </c>
    </row>
    <row r="167" spans="1:3" ht="12" x14ac:dyDescent="0.15">
      <c r="A167" s="25">
        <v>183</v>
      </c>
      <c r="B167" s="56" t="str">
        <f t="shared" si="11"/>
        <v>1183</v>
      </c>
      <c r="C167" s="21" t="s">
        <v>1119</v>
      </c>
    </row>
    <row r="168" spans="1:3" ht="12" x14ac:dyDescent="0.15">
      <c r="A168" s="25">
        <v>184</v>
      </c>
      <c r="B168" s="56" t="str">
        <f t="shared" si="11"/>
        <v>1184</v>
      </c>
      <c r="C168" s="21" t="s">
        <v>1120</v>
      </c>
    </row>
    <row r="169" spans="1:3" ht="12" x14ac:dyDescent="0.15">
      <c r="A169" s="25">
        <v>185</v>
      </c>
      <c r="B169" s="56" t="str">
        <f t="shared" si="11"/>
        <v>1185</v>
      </c>
      <c r="C169" s="21" t="s">
        <v>1121</v>
      </c>
    </row>
    <row r="170" spans="1:3" ht="12" x14ac:dyDescent="0.15">
      <c r="A170" s="25">
        <v>186</v>
      </c>
      <c r="B170" s="56" t="str">
        <f t="shared" si="11"/>
        <v>1186</v>
      </c>
      <c r="C170" s="21" t="s">
        <v>1122</v>
      </c>
    </row>
    <row r="171" spans="1:3" ht="12" x14ac:dyDescent="0.15">
      <c r="A171" s="25">
        <v>187</v>
      </c>
      <c r="B171" s="56" t="str">
        <f t="shared" si="11"/>
        <v>1187</v>
      </c>
      <c r="C171" s="21" t="s">
        <v>1123</v>
      </c>
    </row>
    <row r="172" spans="1:3" ht="12" x14ac:dyDescent="0.15">
      <c r="A172" s="25">
        <v>188</v>
      </c>
      <c r="B172" s="56" t="str">
        <f t="shared" ref="B172:B174" si="12">1&amp;A172</f>
        <v>1188</v>
      </c>
      <c r="C172" s="21" t="s">
        <v>1124</v>
      </c>
    </row>
    <row r="173" spans="1:3" ht="12" x14ac:dyDescent="0.15">
      <c r="A173" s="25">
        <v>189</v>
      </c>
      <c r="B173" s="56" t="str">
        <f t="shared" si="12"/>
        <v>1189</v>
      </c>
      <c r="C173" s="21" t="s">
        <v>1125</v>
      </c>
    </row>
    <row r="174" spans="1:3" ht="12" x14ac:dyDescent="0.15">
      <c r="A174" s="25">
        <v>190</v>
      </c>
      <c r="B174" s="56" t="str">
        <f t="shared" si="12"/>
        <v>1190</v>
      </c>
      <c r="C174" s="21" t="s">
        <v>1126</v>
      </c>
    </row>
    <row r="175" spans="1:3" ht="12" x14ac:dyDescent="0.15">
      <c r="A175" s="25">
        <v>191</v>
      </c>
      <c r="B175" s="56" t="str">
        <f t="shared" ref="B175" si="13">1&amp;A175</f>
        <v>1191</v>
      </c>
      <c r="C175" s="21" t="s">
        <v>1127</v>
      </c>
    </row>
    <row r="176" spans="1:3" ht="12" x14ac:dyDescent="0.15">
      <c r="A176" s="25">
        <v>192</v>
      </c>
      <c r="B176" s="56">
        <v>1192</v>
      </c>
      <c r="C176" s="21" t="s">
        <v>2307</v>
      </c>
    </row>
    <row r="177" spans="1:3" ht="12" x14ac:dyDescent="0.15">
      <c r="A177" s="25">
        <v>193</v>
      </c>
      <c r="B177" s="56">
        <v>1193</v>
      </c>
      <c r="C177" s="21" t="s">
        <v>2308</v>
      </c>
    </row>
    <row r="178" spans="1:3" x14ac:dyDescent="0.15">
      <c r="A178" s="51">
        <v>194</v>
      </c>
      <c r="B178" s="61">
        <v>4194</v>
      </c>
      <c r="C178" s="62" t="s">
        <v>2309</v>
      </c>
    </row>
    <row r="179" spans="1:3" x14ac:dyDescent="0.15">
      <c r="A179" s="51">
        <v>196</v>
      </c>
      <c r="B179" s="61">
        <v>4196</v>
      </c>
      <c r="C179" s="62" t="s">
        <v>2310</v>
      </c>
    </row>
    <row r="180" spans="1:3" x14ac:dyDescent="0.15">
      <c r="A180" s="51">
        <v>197</v>
      </c>
      <c r="B180" s="61">
        <v>4197</v>
      </c>
      <c r="C180" s="62" t="s">
        <v>1842</v>
      </c>
    </row>
    <row r="181" spans="1:3" x14ac:dyDescent="0.15">
      <c r="A181" s="51">
        <v>198</v>
      </c>
      <c r="B181" s="61">
        <v>4198</v>
      </c>
      <c r="C181" s="62" t="s">
        <v>1843</v>
      </c>
    </row>
    <row r="182" spans="1:3" x14ac:dyDescent="0.15">
      <c r="A182" s="51">
        <v>199</v>
      </c>
      <c r="B182" s="61">
        <v>4199</v>
      </c>
      <c r="C182" s="62" t="s">
        <v>1844</v>
      </c>
    </row>
    <row r="183" spans="1:3" x14ac:dyDescent="0.15">
      <c r="A183" s="51">
        <v>200</v>
      </c>
      <c r="B183" s="61">
        <v>4200</v>
      </c>
      <c r="C183" s="62" t="s">
        <v>1845</v>
      </c>
    </row>
    <row r="184" spans="1:3" x14ac:dyDescent="0.15">
      <c r="A184" s="51">
        <v>201</v>
      </c>
      <c r="B184" s="61">
        <v>4201</v>
      </c>
      <c r="C184" s="62" t="s">
        <v>1846</v>
      </c>
    </row>
    <row r="185" spans="1:3" x14ac:dyDescent="0.15">
      <c r="A185" s="51">
        <v>202</v>
      </c>
      <c r="B185" s="61">
        <v>4202</v>
      </c>
      <c r="C185" s="62" t="s">
        <v>1847</v>
      </c>
    </row>
    <row r="186" spans="1:3" x14ac:dyDescent="0.15">
      <c r="A186" s="51">
        <v>203</v>
      </c>
      <c r="B186" s="61">
        <v>4203</v>
      </c>
      <c r="C186" s="62" t="s">
        <v>1848</v>
      </c>
    </row>
    <row r="187" spans="1:3" x14ac:dyDescent="0.15">
      <c r="A187" s="51">
        <v>204</v>
      </c>
      <c r="B187" s="61">
        <v>4204</v>
      </c>
      <c r="C187" s="62" t="s">
        <v>1849</v>
      </c>
    </row>
    <row r="188" spans="1:3" x14ac:dyDescent="0.15">
      <c r="A188" s="51">
        <v>205</v>
      </c>
      <c r="B188" s="61">
        <v>4205</v>
      </c>
      <c r="C188" s="62" t="s">
        <v>1850</v>
      </c>
    </row>
    <row r="189" spans="1:3" x14ac:dyDescent="0.15">
      <c r="A189" s="51">
        <v>206</v>
      </c>
      <c r="B189" s="61">
        <v>4206</v>
      </c>
      <c r="C189" s="62" t="s">
        <v>1851</v>
      </c>
    </row>
    <row r="190" spans="1:3" x14ac:dyDescent="0.15">
      <c r="A190" s="51">
        <v>207</v>
      </c>
      <c r="B190" s="61">
        <v>4207</v>
      </c>
      <c r="C190" s="62" t="s">
        <v>1852</v>
      </c>
    </row>
    <row r="191" spans="1:3" x14ac:dyDescent="0.15">
      <c r="A191" s="51">
        <v>208</v>
      </c>
      <c r="B191" s="61">
        <v>4208</v>
      </c>
      <c r="C191" s="62" t="s">
        <v>1853</v>
      </c>
    </row>
    <row r="192" spans="1:3" x14ac:dyDescent="0.15">
      <c r="A192" s="51">
        <v>209</v>
      </c>
      <c r="B192" s="61">
        <v>4209</v>
      </c>
      <c r="C192" s="62" t="s">
        <v>1854</v>
      </c>
    </row>
    <row r="193" spans="1:3" x14ac:dyDescent="0.15">
      <c r="A193" s="51">
        <v>210</v>
      </c>
      <c r="B193" s="61">
        <v>4210</v>
      </c>
      <c r="C193" s="62" t="s">
        <v>1855</v>
      </c>
    </row>
    <row r="194" spans="1:3" x14ac:dyDescent="0.15">
      <c r="A194" s="51">
        <v>211</v>
      </c>
      <c r="B194" s="61">
        <v>4211</v>
      </c>
      <c r="C194" s="62" t="s">
        <v>1856</v>
      </c>
    </row>
    <row r="195" spans="1:3" x14ac:dyDescent="0.15">
      <c r="A195" s="51">
        <v>212</v>
      </c>
      <c r="B195" s="61">
        <v>4212</v>
      </c>
      <c r="C195" s="62" t="s">
        <v>1857</v>
      </c>
    </row>
    <row r="196" spans="1:3" x14ac:dyDescent="0.15">
      <c r="A196" s="51">
        <v>213</v>
      </c>
      <c r="B196" s="61">
        <v>4213</v>
      </c>
      <c r="C196" s="62" t="s">
        <v>1858</v>
      </c>
    </row>
    <row r="197" spans="1:3" x14ac:dyDescent="0.15">
      <c r="A197" s="51">
        <v>214</v>
      </c>
      <c r="B197" s="61">
        <v>1214</v>
      </c>
      <c r="C197" s="62" t="s">
        <v>1859</v>
      </c>
    </row>
    <row r="198" spans="1:3" x14ac:dyDescent="0.15">
      <c r="A198" s="51">
        <v>215</v>
      </c>
      <c r="B198" s="61">
        <v>1215</v>
      </c>
      <c r="C198" s="62" t="s">
        <v>1860</v>
      </c>
    </row>
    <row r="199" spans="1:3" x14ac:dyDescent="0.15">
      <c r="A199" s="51">
        <v>216</v>
      </c>
      <c r="B199" s="61">
        <v>6216</v>
      </c>
      <c r="C199" s="62" t="s">
        <v>1861</v>
      </c>
    </row>
    <row r="200" spans="1:3" x14ac:dyDescent="0.15">
      <c r="A200" s="51">
        <v>217</v>
      </c>
      <c r="B200" s="61">
        <v>6217</v>
      </c>
      <c r="C200" s="62" t="s">
        <v>1862</v>
      </c>
    </row>
    <row r="201" spans="1:3" x14ac:dyDescent="0.15">
      <c r="A201" s="51">
        <v>218</v>
      </c>
      <c r="B201" s="61">
        <v>6218</v>
      </c>
      <c r="C201" s="62" t="s">
        <v>1863</v>
      </c>
    </row>
    <row r="202" spans="1:3" x14ac:dyDescent="0.15">
      <c r="A202" s="51">
        <v>219</v>
      </c>
      <c r="B202" s="61">
        <v>6219</v>
      </c>
      <c r="C202" s="62" t="s">
        <v>1864</v>
      </c>
    </row>
    <row r="203" spans="1:3" x14ac:dyDescent="0.15">
      <c r="A203" s="51">
        <v>220</v>
      </c>
      <c r="B203" s="61">
        <v>1220</v>
      </c>
      <c r="C203" s="62" t="s">
        <v>1865</v>
      </c>
    </row>
    <row r="204" spans="1:3" x14ac:dyDescent="0.15">
      <c r="A204" s="51">
        <v>221</v>
      </c>
      <c r="B204" s="61">
        <v>1221</v>
      </c>
      <c r="C204" s="62" t="s">
        <v>1866</v>
      </c>
    </row>
    <row r="205" spans="1:3" x14ac:dyDescent="0.15">
      <c r="A205" s="51">
        <v>222</v>
      </c>
      <c r="B205" s="61">
        <v>4222</v>
      </c>
      <c r="C205" s="62" t="s">
        <v>1867</v>
      </c>
    </row>
    <row r="206" spans="1:3" x14ac:dyDescent="0.15">
      <c r="A206" s="51">
        <v>223</v>
      </c>
      <c r="B206" s="61">
        <v>4223</v>
      </c>
      <c r="C206" s="62" t="s">
        <v>1868</v>
      </c>
    </row>
    <row r="207" spans="1:3" x14ac:dyDescent="0.15">
      <c r="A207" s="51">
        <v>224</v>
      </c>
      <c r="B207" s="61">
        <v>4224</v>
      </c>
      <c r="C207" s="62" t="s">
        <v>1869</v>
      </c>
    </row>
    <row r="208" spans="1:3" x14ac:dyDescent="0.15">
      <c r="A208" s="51">
        <v>225</v>
      </c>
      <c r="B208" s="61">
        <v>4225</v>
      </c>
      <c r="C208" s="62" t="s">
        <v>1870</v>
      </c>
    </row>
    <row r="209" spans="1:3" x14ac:dyDescent="0.15">
      <c r="A209" s="51">
        <v>226</v>
      </c>
      <c r="B209" s="61">
        <v>4226</v>
      </c>
      <c r="C209" s="62" t="s">
        <v>1871</v>
      </c>
    </row>
    <row r="210" spans="1:3" x14ac:dyDescent="0.15">
      <c r="A210" s="51">
        <v>227</v>
      </c>
      <c r="B210" s="61">
        <v>1227</v>
      </c>
      <c r="C210" s="62" t="s">
        <v>1872</v>
      </c>
    </row>
    <row r="211" spans="1:3" x14ac:dyDescent="0.15">
      <c r="A211" s="51">
        <v>228</v>
      </c>
      <c r="B211" s="61">
        <v>1228</v>
      </c>
      <c r="C211" s="62" t="s">
        <v>1873</v>
      </c>
    </row>
    <row r="212" spans="1:3" x14ac:dyDescent="0.15">
      <c r="A212" s="51">
        <v>229</v>
      </c>
      <c r="B212" s="61">
        <v>1229</v>
      </c>
      <c r="C212" s="62" t="s">
        <v>1874</v>
      </c>
    </row>
    <row r="213" spans="1:3" x14ac:dyDescent="0.15">
      <c r="A213" s="51">
        <v>230</v>
      </c>
      <c r="B213" s="61">
        <v>1230</v>
      </c>
      <c r="C213" s="62" t="s">
        <v>1875</v>
      </c>
    </row>
    <row r="214" spans="1:3" x14ac:dyDescent="0.15">
      <c r="A214" s="51">
        <v>231</v>
      </c>
      <c r="B214" s="61">
        <v>1231</v>
      </c>
      <c r="C214" s="62" t="s">
        <v>1876</v>
      </c>
    </row>
    <row r="215" spans="1:3" x14ac:dyDescent="0.15">
      <c r="A215" s="51">
        <v>232</v>
      </c>
      <c r="B215" s="61">
        <v>1232</v>
      </c>
      <c r="C215" s="62" t="s">
        <v>1877</v>
      </c>
    </row>
    <row r="216" spans="1:3" x14ac:dyDescent="0.15">
      <c r="A216" s="51">
        <v>233</v>
      </c>
      <c r="B216" s="61">
        <v>1233</v>
      </c>
      <c r="C216" s="62" t="s">
        <v>1878</v>
      </c>
    </row>
    <row r="217" spans="1:3" x14ac:dyDescent="0.15">
      <c r="A217" s="51">
        <v>234</v>
      </c>
      <c r="B217" s="61">
        <v>1234</v>
      </c>
      <c r="C217" s="62" t="s">
        <v>1879</v>
      </c>
    </row>
    <row r="218" spans="1:3" x14ac:dyDescent="0.15">
      <c r="A218" s="51">
        <v>235</v>
      </c>
      <c r="B218" s="61">
        <v>6235</v>
      </c>
      <c r="C218" s="62" t="s">
        <v>1880</v>
      </c>
    </row>
    <row r="219" spans="1:3" x14ac:dyDescent="0.15">
      <c r="A219" s="51">
        <v>236</v>
      </c>
      <c r="B219" s="61">
        <v>6236</v>
      </c>
      <c r="C219" s="62" t="s">
        <v>1881</v>
      </c>
    </row>
    <row r="220" spans="1:3" x14ac:dyDescent="0.15">
      <c r="A220" s="51">
        <v>237</v>
      </c>
      <c r="B220" s="61">
        <v>6237</v>
      </c>
      <c r="C220" s="62" t="s">
        <v>1882</v>
      </c>
    </row>
    <row r="221" spans="1:3" x14ac:dyDescent="0.15">
      <c r="A221" s="51">
        <v>238</v>
      </c>
      <c r="B221" s="61">
        <v>6238</v>
      </c>
      <c r="C221" s="62" t="s">
        <v>1883</v>
      </c>
    </row>
    <row r="222" spans="1:3" x14ac:dyDescent="0.15">
      <c r="A222" s="51">
        <v>239</v>
      </c>
      <c r="B222" s="61">
        <v>1239</v>
      </c>
      <c r="C222" s="62" t="s">
        <v>1884</v>
      </c>
    </row>
    <row r="223" spans="1:3" x14ac:dyDescent="0.15">
      <c r="A223" s="51">
        <v>240</v>
      </c>
      <c r="B223" s="61">
        <v>7240</v>
      </c>
      <c r="C223" s="62" t="s">
        <v>1885</v>
      </c>
    </row>
    <row r="224" spans="1:3" x14ac:dyDescent="0.15">
      <c r="A224" s="51">
        <v>241</v>
      </c>
      <c r="B224" s="61">
        <v>7241</v>
      </c>
      <c r="C224" s="62" t="s">
        <v>1886</v>
      </c>
    </row>
    <row r="225" spans="1:3" x14ac:dyDescent="0.15">
      <c r="A225" s="51">
        <v>242</v>
      </c>
      <c r="B225" s="61">
        <v>7242</v>
      </c>
      <c r="C225" s="62" t="s">
        <v>1887</v>
      </c>
    </row>
    <row r="226" spans="1:3" x14ac:dyDescent="0.15">
      <c r="A226" s="51">
        <v>243</v>
      </c>
      <c r="B226" s="61">
        <v>7243</v>
      </c>
      <c r="C226" s="62" t="s">
        <v>1888</v>
      </c>
    </row>
    <row r="227" spans="1:3" x14ac:dyDescent="0.15">
      <c r="A227" s="51">
        <v>244</v>
      </c>
      <c r="B227" s="61">
        <v>4244</v>
      </c>
      <c r="C227" s="62" t="s">
        <v>1889</v>
      </c>
    </row>
    <row r="228" spans="1:3" x14ac:dyDescent="0.15">
      <c r="A228" s="51">
        <v>245</v>
      </c>
      <c r="B228" s="61">
        <v>4245</v>
      </c>
      <c r="C228" s="62" t="s">
        <v>1890</v>
      </c>
    </row>
    <row r="229" spans="1:3" x14ac:dyDescent="0.15">
      <c r="A229" s="51">
        <v>246</v>
      </c>
      <c r="B229" s="61">
        <v>4246</v>
      </c>
      <c r="C229" s="62" t="s">
        <v>1891</v>
      </c>
    </row>
    <row r="230" spans="1:3" x14ac:dyDescent="0.15">
      <c r="A230" s="51">
        <v>247</v>
      </c>
      <c r="B230" s="61">
        <v>7247</v>
      </c>
      <c r="C230" s="62" t="s">
        <v>1892</v>
      </c>
    </row>
    <row r="231" spans="1:3" x14ac:dyDescent="0.15">
      <c r="A231" s="51">
        <v>248</v>
      </c>
      <c r="B231" s="61">
        <v>7248</v>
      </c>
      <c r="C231" s="62" t="s">
        <v>1893</v>
      </c>
    </row>
    <row r="232" spans="1:3" x14ac:dyDescent="0.15">
      <c r="A232" s="51">
        <v>249</v>
      </c>
      <c r="B232" s="61">
        <v>1249</v>
      </c>
      <c r="C232" s="62" t="s">
        <v>1894</v>
      </c>
    </row>
    <row r="233" spans="1:3" x14ac:dyDescent="0.15">
      <c r="A233" s="51">
        <v>250</v>
      </c>
      <c r="B233" s="61">
        <v>4250</v>
      </c>
      <c r="C233" s="62" t="s">
        <v>1895</v>
      </c>
    </row>
    <row r="234" spans="1:3" x14ac:dyDescent="0.15">
      <c r="A234" s="51">
        <v>251</v>
      </c>
      <c r="B234" s="61">
        <v>4251</v>
      </c>
      <c r="C234" s="62" t="s">
        <v>1896</v>
      </c>
    </row>
    <row r="235" spans="1:3" x14ac:dyDescent="0.15">
      <c r="A235" s="51">
        <v>252</v>
      </c>
      <c r="B235" s="61">
        <v>4252</v>
      </c>
      <c r="C235" s="62" t="s">
        <v>1897</v>
      </c>
    </row>
    <row r="236" spans="1:3" x14ac:dyDescent="0.15">
      <c r="A236" s="51">
        <v>253</v>
      </c>
      <c r="B236" s="61">
        <v>4253</v>
      </c>
      <c r="C236" s="62" t="s">
        <v>1898</v>
      </c>
    </row>
    <row r="237" spans="1:3" x14ac:dyDescent="0.15">
      <c r="A237" s="51">
        <v>254</v>
      </c>
      <c r="B237" s="61">
        <v>4254</v>
      </c>
      <c r="C237" s="62" t="s">
        <v>1899</v>
      </c>
    </row>
    <row r="238" spans="1:3" x14ac:dyDescent="0.15">
      <c r="A238" s="51">
        <v>255</v>
      </c>
      <c r="B238" s="61">
        <v>4255</v>
      </c>
      <c r="C238" s="62" t="s">
        <v>1900</v>
      </c>
    </row>
    <row r="239" spans="1:3" x14ac:dyDescent="0.15">
      <c r="A239" s="51">
        <v>256</v>
      </c>
      <c r="B239" s="61">
        <v>1256</v>
      </c>
      <c r="C239" s="62" t="s">
        <v>1901</v>
      </c>
    </row>
    <row r="240" spans="1:3" x14ac:dyDescent="0.15">
      <c r="A240" s="51">
        <v>257</v>
      </c>
      <c r="B240" s="61">
        <v>6257</v>
      </c>
      <c r="C240" s="62" t="s">
        <v>1902</v>
      </c>
    </row>
    <row r="241" spans="1:3" x14ac:dyDescent="0.15">
      <c r="A241" s="51">
        <v>258</v>
      </c>
      <c r="B241" s="61">
        <v>1258</v>
      </c>
      <c r="C241" s="62" t="s">
        <v>1903</v>
      </c>
    </row>
    <row r="242" spans="1:3" x14ac:dyDescent="0.15">
      <c r="A242" s="51">
        <v>259</v>
      </c>
      <c r="B242" s="61">
        <v>6259</v>
      </c>
      <c r="C242" s="62" t="s">
        <v>1904</v>
      </c>
    </row>
    <row r="243" spans="1:3" x14ac:dyDescent="0.15">
      <c r="A243" s="51">
        <v>260</v>
      </c>
      <c r="B243" s="61">
        <v>1260</v>
      </c>
      <c r="C243" s="62" t="s">
        <v>1905</v>
      </c>
    </row>
    <row r="244" spans="1:3" x14ac:dyDescent="0.15">
      <c r="A244" s="51">
        <v>261</v>
      </c>
      <c r="B244" s="61">
        <v>6261</v>
      </c>
      <c r="C244" s="62" t="s">
        <v>1906</v>
      </c>
    </row>
    <row r="245" spans="1:3" x14ac:dyDescent="0.15">
      <c r="A245" s="51">
        <v>262</v>
      </c>
      <c r="B245" s="61">
        <v>4262</v>
      </c>
      <c r="C245" s="62" t="s">
        <v>1907</v>
      </c>
    </row>
    <row r="246" spans="1:3" x14ac:dyDescent="0.15">
      <c r="A246" s="51">
        <v>263</v>
      </c>
      <c r="B246" s="61">
        <v>1263</v>
      </c>
      <c r="C246" s="62" t="s">
        <v>1908</v>
      </c>
    </row>
    <row r="247" spans="1:3" x14ac:dyDescent="0.15">
      <c r="A247" s="51">
        <v>264</v>
      </c>
      <c r="B247" s="61">
        <v>7264</v>
      </c>
      <c r="C247" s="62" t="s">
        <v>1909</v>
      </c>
    </row>
    <row r="248" spans="1:3" x14ac:dyDescent="0.15">
      <c r="A248" s="51">
        <v>265</v>
      </c>
      <c r="B248" s="61">
        <v>1265</v>
      </c>
      <c r="C248" s="62" t="s">
        <v>1910</v>
      </c>
    </row>
    <row r="249" spans="1:3" x14ac:dyDescent="0.15">
      <c r="A249" s="51">
        <v>266</v>
      </c>
      <c r="B249" s="61">
        <v>1266</v>
      </c>
      <c r="C249" s="62" t="s">
        <v>1911</v>
      </c>
    </row>
    <row r="250" spans="1:3" x14ac:dyDescent="0.15">
      <c r="A250" s="51">
        <v>267</v>
      </c>
      <c r="B250" s="61">
        <v>1267</v>
      </c>
      <c r="C250" s="62" t="s">
        <v>1912</v>
      </c>
    </row>
    <row r="251" spans="1:3" x14ac:dyDescent="0.15">
      <c r="A251" s="51">
        <v>268</v>
      </c>
      <c r="B251" s="61">
        <v>1268</v>
      </c>
      <c r="C251" s="62" t="s">
        <v>1913</v>
      </c>
    </row>
    <row r="252" spans="1:3" x14ac:dyDescent="0.15">
      <c r="A252" s="51">
        <v>269</v>
      </c>
      <c r="B252" s="61">
        <v>1269</v>
      </c>
      <c r="C252" s="62" t="s">
        <v>1914</v>
      </c>
    </row>
    <row r="253" spans="1:3" x14ac:dyDescent="0.15">
      <c r="A253" s="51">
        <v>270</v>
      </c>
      <c r="B253" s="61">
        <v>1270</v>
      </c>
      <c r="C253" s="62" t="s">
        <v>1915</v>
      </c>
    </row>
    <row r="254" spans="1:3" x14ac:dyDescent="0.15">
      <c r="A254" s="51">
        <v>271</v>
      </c>
      <c r="B254" s="61">
        <v>7271</v>
      </c>
      <c r="C254" s="62" t="s">
        <v>1916</v>
      </c>
    </row>
    <row r="255" spans="1:3" x14ac:dyDescent="0.15">
      <c r="A255" s="51">
        <v>272</v>
      </c>
      <c r="B255" s="61">
        <v>7272</v>
      </c>
      <c r="C255" s="62" t="s">
        <v>1917</v>
      </c>
    </row>
    <row r="256" spans="1:3" x14ac:dyDescent="0.15">
      <c r="A256" s="51">
        <v>273</v>
      </c>
      <c r="B256" s="61">
        <v>7273</v>
      </c>
      <c r="C256" s="62" t="s">
        <v>1918</v>
      </c>
    </row>
    <row r="257" spans="1:3" x14ac:dyDescent="0.15">
      <c r="A257" s="51">
        <v>274</v>
      </c>
      <c r="B257" s="61">
        <v>7274</v>
      </c>
      <c r="C257" s="62" t="s">
        <v>1919</v>
      </c>
    </row>
    <row r="258" spans="1:3" x14ac:dyDescent="0.15">
      <c r="A258" s="51">
        <v>275</v>
      </c>
      <c r="B258" s="61">
        <v>1275</v>
      </c>
      <c r="C258" s="62" t="s">
        <v>1920</v>
      </c>
    </row>
    <row r="259" spans="1:3" x14ac:dyDescent="0.15">
      <c r="A259" s="51">
        <v>276</v>
      </c>
      <c r="B259" s="61">
        <v>1276</v>
      </c>
      <c r="C259" s="62" t="s">
        <v>1921</v>
      </c>
    </row>
    <row r="260" spans="1:3" x14ac:dyDescent="0.15">
      <c r="A260" s="51">
        <v>277</v>
      </c>
      <c r="B260" s="61">
        <v>4277</v>
      </c>
      <c r="C260" s="62" t="s">
        <v>1922</v>
      </c>
    </row>
    <row r="261" spans="1:3" x14ac:dyDescent="0.15">
      <c r="A261" s="51">
        <v>278</v>
      </c>
      <c r="B261" s="61">
        <v>6278</v>
      </c>
      <c r="C261" s="62" t="s">
        <v>1923</v>
      </c>
    </row>
    <row r="262" spans="1:3" x14ac:dyDescent="0.15">
      <c r="A262" s="51">
        <v>279</v>
      </c>
      <c r="B262" s="61">
        <v>1279</v>
      </c>
      <c r="C262" s="62" t="s">
        <v>1924</v>
      </c>
    </row>
    <row r="263" spans="1:3" x14ac:dyDescent="0.15">
      <c r="A263" s="51">
        <v>290</v>
      </c>
      <c r="B263" s="61">
        <v>1290</v>
      </c>
      <c r="C263" s="62" t="s">
        <v>1925</v>
      </c>
    </row>
    <row r="264" spans="1:3" x14ac:dyDescent="0.15">
      <c r="A264" s="51">
        <v>291</v>
      </c>
      <c r="B264" s="61">
        <v>1291</v>
      </c>
      <c r="C264" s="62" t="s">
        <v>1926</v>
      </c>
    </row>
    <row r="265" spans="1:3" x14ac:dyDescent="0.15">
      <c r="A265" s="51">
        <v>292</v>
      </c>
      <c r="B265" s="61">
        <v>1292</v>
      </c>
      <c r="C265" s="62" t="s">
        <v>1927</v>
      </c>
    </row>
    <row r="266" spans="1:3" x14ac:dyDescent="0.15">
      <c r="A266" s="51">
        <v>293</v>
      </c>
      <c r="B266" s="61">
        <v>4293</v>
      </c>
      <c r="C266" s="62" t="s">
        <v>1928</v>
      </c>
    </row>
    <row r="267" spans="1:3" x14ac:dyDescent="0.15">
      <c r="A267" s="51">
        <v>294</v>
      </c>
      <c r="B267" s="61">
        <v>4294</v>
      </c>
      <c r="C267" s="62" t="s">
        <v>1929</v>
      </c>
    </row>
    <row r="268" spans="1:3" x14ac:dyDescent="0.15">
      <c r="A268" s="51">
        <v>295</v>
      </c>
      <c r="B268" s="61">
        <v>4295</v>
      </c>
      <c r="C268" s="62" t="s">
        <v>1930</v>
      </c>
    </row>
    <row r="269" spans="1:3" x14ac:dyDescent="0.15">
      <c r="A269" s="51">
        <v>296</v>
      </c>
      <c r="B269" s="61">
        <v>4296</v>
      </c>
      <c r="C269" s="62" t="s">
        <v>1931</v>
      </c>
    </row>
    <row r="270" spans="1:3" x14ac:dyDescent="0.15">
      <c r="A270" s="51">
        <v>297</v>
      </c>
      <c r="B270" s="61">
        <v>4297</v>
      </c>
      <c r="C270" s="62" t="s">
        <v>1932</v>
      </c>
    </row>
    <row r="271" spans="1:3" x14ac:dyDescent="0.15">
      <c r="A271" s="51">
        <v>298</v>
      </c>
      <c r="B271" s="61">
        <v>4298</v>
      </c>
      <c r="C271" s="62" t="s">
        <v>1933</v>
      </c>
    </row>
    <row r="272" spans="1:3" x14ac:dyDescent="0.15">
      <c r="A272" s="51">
        <v>299</v>
      </c>
      <c r="B272" s="61">
        <v>4299</v>
      </c>
      <c r="C272" s="62" t="s">
        <v>1934</v>
      </c>
    </row>
    <row r="273" spans="1:3" x14ac:dyDescent="0.15">
      <c r="A273" s="51">
        <v>300</v>
      </c>
      <c r="B273" s="61">
        <v>4300</v>
      </c>
      <c r="C273" s="62" t="s">
        <v>1935</v>
      </c>
    </row>
    <row r="274" spans="1:3" x14ac:dyDescent="0.15">
      <c r="A274" s="51">
        <v>301</v>
      </c>
      <c r="B274" s="61">
        <v>1301</v>
      </c>
      <c r="C274" s="62" t="s">
        <v>1936</v>
      </c>
    </row>
    <row r="275" spans="1:3" x14ac:dyDescent="0.15">
      <c r="A275" s="51">
        <v>302</v>
      </c>
      <c r="B275" s="61">
        <v>1302</v>
      </c>
      <c r="C275" s="62" t="s">
        <v>1937</v>
      </c>
    </row>
    <row r="276" spans="1:3" x14ac:dyDescent="0.15">
      <c r="A276" s="51">
        <v>303</v>
      </c>
      <c r="B276" s="61">
        <v>6303</v>
      </c>
      <c r="C276" s="62" t="s">
        <v>1938</v>
      </c>
    </row>
    <row r="277" spans="1:3" x14ac:dyDescent="0.15">
      <c r="A277" s="51">
        <v>304</v>
      </c>
      <c r="B277" s="61">
        <v>1304</v>
      </c>
      <c r="C277" s="62" t="s">
        <v>1939</v>
      </c>
    </row>
    <row r="278" spans="1:3" x14ac:dyDescent="0.15">
      <c r="A278" s="51">
        <v>305</v>
      </c>
      <c r="B278" s="61">
        <v>1305</v>
      </c>
      <c r="C278" s="62" t="s">
        <v>1940</v>
      </c>
    </row>
    <row r="279" spans="1:3" x14ac:dyDescent="0.15">
      <c r="A279" s="51">
        <v>306</v>
      </c>
      <c r="B279" s="61">
        <v>6306</v>
      </c>
      <c r="C279" s="62" t="s">
        <v>1941</v>
      </c>
    </row>
    <row r="280" spans="1:3" x14ac:dyDescent="0.15">
      <c r="A280" s="51">
        <v>307</v>
      </c>
      <c r="B280" s="61">
        <v>1307</v>
      </c>
      <c r="C280" s="62" t="s">
        <v>1942</v>
      </c>
    </row>
    <row r="281" spans="1:3" x14ac:dyDescent="0.15">
      <c r="A281" s="51">
        <v>308</v>
      </c>
      <c r="B281" s="61">
        <v>1308</v>
      </c>
      <c r="C281" s="62" t="s">
        <v>1943</v>
      </c>
    </row>
    <row r="282" spans="1:3" x14ac:dyDescent="0.15">
      <c r="A282" s="51">
        <v>309</v>
      </c>
      <c r="B282" s="61">
        <v>6309</v>
      </c>
      <c r="C282" s="62" t="s">
        <v>1944</v>
      </c>
    </row>
    <row r="283" spans="1:3" x14ac:dyDescent="0.15">
      <c r="A283" s="51">
        <v>310</v>
      </c>
      <c r="B283" s="61">
        <v>1310</v>
      </c>
      <c r="C283" s="62" t="s">
        <v>1945</v>
      </c>
    </row>
    <row r="284" spans="1:3" x14ac:dyDescent="0.15">
      <c r="A284" s="51">
        <v>311</v>
      </c>
      <c r="B284" s="61">
        <v>1311</v>
      </c>
      <c r="C284" s="62" t="s">
        <v>1946</v>
      </c>
    </row>
    <row r="285" spans="1:3" x14ac:dyDescent="0.15">
      <c r="A285" s="51">
        <v>312</v>
      </c>
      <c r="B285" s="61">
        <v>1312</v>
      </c>
      <c r="C285" s="62" t="s">
        <v>1947</v>
      </c>
    </row>
    <row r="286" spans="1:3" x14ac:dyDescent="0.15">
      <c r="A286" s="51">
        <v>313</v>
      </c>
      <c r="B286" s="61">
        <v>1313</v>
      </c>
      <c r="C286" s="62" t="s">
        <v>1948</v>
      </c>
    </row>
    <row r="287" spans="1:3" x14ac:dyDescent="0.15">
      <c r="A287" s="51">
        <v>314</v>
      </c>
      <c r="B287" s="61">
        <v>1314</v>
      </c>
      <c r="C287" s="62" t="s">
        <v>1949</v>
      </c>
    </row>
    <row r="288" spans="1:3" x14ac:dyDescent="0.15">
      <c r="A288" s="51">
        <v>315</v>
      </c>
      <c r="B288" s="61">
        <v>1315</v>
      </c>
      <c r="C288" s="62" t="s">
        <v>1950</v>
      </c>
    </row>
    <row r="289" spans="1:3" x14ac:dyDescent="0.15">
      <c r="A289" s="51">
        <v>316</v>
      </c>
      <c r="B289" s="61">
        <v>1316</v>
      </c>
      <c r="C289" s="62" t="s">
        <v>1951</v>
      </c>
    </row>
    <row r="290" spans="1:3" x14ac:dyDescent="0.15">
      <c r="A290" s="51">
        <v>317</v>
      </c>
      <c r="B290" s="61">
        <v>1317</v>
      </c>
      <c r="C290" s="62" t="s">
        <v>1952</v>
      </c>
    </row>
    <row r="291" spans="1:3" x14ac:dyDescent="0.15">
      <c r="A291" s="51">
        <v>318</v>
      </c>
      <c r="B291" s="61">
        <v>1318</v>
      </c>
      <c r="C291" s="62" t="s">
        <v>1953</v>
      </c>
    </row>
    <row r="292" spans="1:3" x14ac:dyDescent="0.15">
      <c r="A292" s="51">
        <v>319</v>
      </c>
      <c r="B292" s="61">
        <v>1319</v>
      </c>
      <c r="C292" s="62" t="s">
        <v>1954</v>
      </c>
    </row>
    <row r="293" spans="1:3" x14ac:dyDescent="0.15">
      <c r="A293" s="51">
        <v>320</v>
      </c>
      <c r="B293" s="61">
        <v>1320</v>
      </c>
      <c r="C293" s="62" t="s">
        <v>1955</v>
      </c>
    </row>
    <row r="294" spans="1:3" x14ac:dyDescent="0.15">
      <c r="A294" s="51">
        <v>321</v>
      </c>
      <c r="B294" s="61">
        <v>1321</v>
      </c>
      <c r="C294" s="62" t="s">
        <v>1956</v>
      </c>
    </row>
    <row r="295" spans="1:3" x14ac:dyDescent="0.15">
      <c r="A295" s="51">
        <v>322</v>
      </c>
      <c r="B295" s="61">
        <v>1322</v>
      </c>
      <c r="C295" s="62" t="s">
        <v>1957</v>
      </c>
    </row>
    <row r="296" spans="1:3" x14ac:dyDescent="0.15">
      <c r="A296" s="51">
        <v>323</v>
      </c>
      <c r="B296" s="61">
        <v>1323</v>
      </c>
      <c r="C296" s="62" t="s">
        <v>1958</v>
      </c>
    </row>
    <row r="297" spans="1:3" x14ac:dyDescent="0.15">
      <c r="A297" s="51">
        <v>324</v>
      </c>
      <c r="B297" s="61">
        <v>1324</v>
      </c>
      <c r="C297" s="62" t="s">
        <v>1959</v>
      </c>
    </row>
    <row r="298" spans="1:3" x14ac:dyDescent="0.15">
      <c r="A298" s="51">
        <v>325</v>
      </c>
      <c r="B298" s="61">
        <v>6325</v>
      </c>
      <c r="C298" s="62" t="s">
        <v>1960</v>
      </c>
    </row>
    <row r="299" spans="1:3" x14ac:dyDescent="0.15">
      <c r="A299" s="51">
        <v>326</v>
      </c>
      <c r="B299" s="61">
        <v>6326</v>
      </c>
      <c r="C299" s="62" t="s">
        <v>1961</v>
      </c>
    </row>
    <row r="300" spans="1:3" x14ac:dyDescent="0.15">
      <c r="A300" s="51">
        <v>327</v>
      </c>
      <c r="B300" s="61">
        <v>6327</v>
      </c>
      <c r="C300" s="62" t="s">
        <v>1962</v>
      </c>
    </row>
    <row r="301" spans="1:3" x14ac:dyDescent="0.15">
      <c r="A301" s="51">
        <v>328</v>
      </c>
      <c r="B301" s="61">
        <v>6328</v>
      </c>
      <c r="C301" s="62" t="s">
        <v>1963</v>
      </c>
    </row>
    <row r="302" spans="1:3" x14ac:dyDescent="0.15">
      <c r="A302" s="51">
        <v>329</v>
      </c>
      <c r="B302" s="61">
        <v>6329</v>
      </c>
      <c r="C302" s="62" t="s">
        <v>1964</v>
      </c>
    </row>
    <row r="303" spans="1:3" x14ac:dyDescent="0.15">
      <c r="A303" s="51">
        <v>330</v>
      </c>
      <c r="B303" s="61">
        <v>6330</v>
      </c>
      <c r="C303" s="62" t="s">
        <v>1965</v>
      </c>
    </row>
    <row r="304" spans="1:3" x14ac:dyDescent="0.15">
      <c r="A304" s="51">
        <v>331</v>
      </c>
      <c r="B304" s="61">
        <v>6331</v>
      </c>
      <c r="C304" s="62" t="s">
        <v>1966</v>
      </c>
    </row>
    <row r="305" spans="1:3" x14ac:dyDescent="0.15">
      <c r="A305" s="51">
        <v>332</v>
      </c>
      <c r="B305" s="61">
        <v>6332</v>
      </c>
      <c r="C305" s="62" t="s">
        <v>1967</v>
      </c>
    </row>
    <row r="306" spans="1:3" x14ac:dyDescent="0.15">
      <c r="A306" s="51">
        <v>333</v>
      </c>
      <c r="B306" s="61">
        <v>6333</v>
      </c>
      <c r="C306" s="62" t="s">
        <v>1968</v>
      </c>
    </row>
    <row r="307" spans="1:3" x14ac:dyDescent="0.15">
      <c r="A307" s="51">
        <v>334</v>
      </c>
      <c r="B307" s="61">
        <v>6334</v>
      </c>
      <c r="C307" s="62" t="s">
        <v>1969</v>
      </c>
    </row>
    <row r="308" spans="1:3" x14ac:dyDescent="0.15">
      <c r="A308" s="51">
        <v>335</v>
      </c>
      <c r="B308" s="61">
        <v>6335</v>
      </c>
      <c r="C308" s="62" t="s">
        <v>1970</v>
      </c>
    </row>
    <row r="309" spans="1:3" x14ac:dyDescent="0.15">
      <c r="A309" s="51">
        <v>336</v>
      </c>
      <c r="B309" s="61">
        <v>6336</v>
      </c>
      <c r="C309" s="62" t="s">
        <v>1971</v>
      </c>
    </row>
    <row r="310" spans="1:3" x14ac:dyDescent="0.15">
      <c r="A310" s="51">
        <v>337</v>
      </c>
      <c r="B310" s="61">
        <v>6337</v>
      </c>
      <c r="C310" s="62" t="s">
        <v>1972</v>
      </c>
    </row>
    <row r="311" spans="1:3" x14ac:dyDescent="0.15">
      <c r="A311" s="51">
        <v>338</v>
      </c>
      <c r="B311" s="61">
        <v>6338</v>
      </c>
      <c r="C311" s="62" t="s">
        <v>1973</v>
      </c>
    </row>
    <row r="312" spans="1:3" x14ac:dyDescent="0.15">
      <c r="A312" s="51">
        <v>339</v>
      </c>
      <c r="B312" s="61">
        <v>6339</v>
      </c>
      <c r="C312" s="62" t="s">
        <v>1974</v>
      </c>
    </row>
    <row r="313" spans="1:3" x14ac:dyDescent="0.15">
      <c r="A313" s="51">
        <v>340</v>
      </c>
      <c r="B313" s="61">
        <v>6340</v>
      </c>
      <c r="C313" s="62" t="s">
        <v>1975</v>
      </c>
    </row>
    <row r="314" spans="1:3" x14ac:dyDescent="0.15">
      <c r="A314" s="51">
        <v>341</v>
      </c>
      <c r="B314" s="61">
        <v>6341</v>
      </c>
      <c r="C314" s="62" t="s">
        <v>1976</v>
      </c>
    </row>
    <row r="315" spans="1:3" x14ac:dyDescent="0.15">
      <c r="A315" s="51">
        <v>342</v>
      </c>
      <c r="B315" s="61">
        <v>6342</v>
      </c>
      <c r="C315" s="62" t="s">
        <v>1977</v>
      </c>
    </row>
    <row r="316" spans="1:3" x14ac:dyDescent="0.15">
      <c r="A316" s="51">
        <v>343</v>
      </c>
      <c r="B316" s="61">
        <v>6343</v>
      </c>
      <c r="C316" s="62" t="s">
        <v>1978</v>
      </c>
    </row>
    <row r="317" spans="1:3" x14ac:dyDescent="0.15">
      <c r="A317" s="51">
        <v>344</v>
      </c>
      <c r="B317" s="61">
        <v>6344</v>
      </c>
      <c r="C317" s="62" t="s">
        <v>1979</v>
      </c>
    </row>
    <row r="318" spans="1:3" x14ac:dyDescent="0.15">
      <c r="A318" s="51">
        <v>345</v>
      </c>
      <c r="B318" s="61">
        <v>1345</v>
      </c>
      <c r="C318" s="62" t="s">
        <v>1980</v>
      </c>
    </row>
    <row r="319" spans="1:3" x14ac:dyDescent="0.15">
      <c r="A319" s="51">
        <v>346</v>
      </c>
      <c r="B319" s="61">
        <v>6346</v>
      </c>
      <c r="C319" s="62" t="s">
        <v>1981</v>
      </c>
    </row>
    <row r="320" spans="1:3" x14ac:dyDescent="0.15">
      <c r="A320" s="51">
        <v>347</v>
      </c>
      <c r="B320" s="61">
        <v>4347</v>
      </c>
      <c r="C320" s="62" t="s">
        <v>1982</v>
      </c>
    </row>
    <row r="321" spans="1:3" x14ac:dyDescent="0.15">
      <c r="A321" s="51">
        <v>348</v>
      </c>
      <c r="B321" s="61">
        <v>6348</v>
      </c>
      <c r="C321" s="62" t="s">
        <v>1983</v>
      </c>
    </row>
    <row r="322" spans="1:3" x14ac:dyDescent="0.15">
      <c r="A322" s="51">
        <v>349</v>
      </c>
      <c r="B322" s="61">
        <v>1349</v>
      </c>
      <c r="C322" s="62" t="s">
        <v>1984</v>
      </c>
    </row>
    <row r="323" spans="1:3" x14ac:dyDescent="0.15">
      <c r="A323" s="51">
        <v>350</v>
      </c>
      <c r="B323" s="61">
        <v>6350</v>
      </c>
      <c r="C323" s="62" t="s">
        <v>1985</v>
      </c>
    </row>
    <row r="324" spans="1:3" x14ac:dyDescent="0.15">
      <c r="A324" s="51">
        <v>351</v>
      </c>
      <c r="B324" s="61">
        <v>4351</v>
      </c>
      <c r="C324" s="62" t="s">
        <v>1986</v>
      </c>
    </row>
    <row r="325" spans="1:3" x14ac:dyDescent="0.15">
      <c r="A325" s="51">
        <v>352</v>
      </c>
      <c r="B325" s="61">
        <v>6352</v>
      </c>
      <c r="C325" s="62" t="s">
        <v>1987</v>
      </c>
    </row>
    <row r="326" spans="1:3" x14ac:dyDescent="0.15">
      <c r="A326" s="51">
        <v>353</v>
      </c>
      <c r="B326" s="61">
        <v>1353</v>
      </c>
      <c r="C326" s="62" t="s">
        <v>1988</v>
      </c>
    </row>
    <row r="327" spans="1:3" x14ac:dyDescent="0.15">
      <c r="A327" s="51">
        <v>354</v>
      </c>
      <c r="B327" s="61">
        <v>6354</v>
      </c>
      <c r="C327" s="62" t="s">
        <v>1989</v>
      </c>
    </row>
    <row r="328" spans="1:3" x14ac:dyDescent="0.15">
      <c r="A328" s="51">
        <v>355</v>
      </c>
      <c r="B328" s="61">
        <v>4355</v>
      </c>
      <c r="C328" s="62" t="s">
        <v>1990</v>
      </c>
    </row>
    <row r="329" spans="1:3" x14ac:dyDescent="0.15">
      <c r="A329" s="51">
        <v>356</v>
      </c>
      <c r="B329" s="61">
        <v>6356</v>
      </c>
      <c r="C329" s="62" t="s">
        <v>1991</v>
      </c>
    </row>
    <row r="330" spans="1:3" x14ac:dyDescent="0.15">
      <c r="A330" s="51">
        <v>357</v>
      </c>
      <c r="B330" s="61">
        <v>1357</v>
      </c>
      <c r="C330" s="62" t="s">
        <v>1992</v>
      </c>
    </row>
    <row r="331" spans="1:3" x14ac:dyDescent="0.15">
      <c r="A331" s="51">
        <v>358</v>
      </c>
      <c r="B331" s="61">
        <v>6358</v>
      </c>
      <c r="C331" s="62" t="s">
        <v>1993</v>
      </c>
    </row>
    <row r="332" spans="1:3" x14ac:dyDescent="0.15">
      <c r="A332" s="51">
        <v>359</v>
      </c>
      <c r="B332" s="61">
        <v>4359</v>
      </c>
      <c r="C332" s="62" t="s">
        <v>1994</v>
      </c>
    </row>
    <row r="333" spans="1:3" x14ac:dyDescent="0.15">
      <c r="A333" s="51">
        <v>360</v>
      </c>
      <c r="B333" s="61">
        <v>6360</v>
      </c>
      <c r="C333" s="62" t="s">
        <v>1995</v>
      </c>
    </row>
    <row r="334" spans="1:3" x14ac:dyDescent="0.15">
      <c r="A334" s="51">
        <v>361</v>
      </c>
      <c r="B334" s="61">
        <v>1361</v>
      </c>
      <c r="C334" s="62" t="s">
        <v>1996</v>
      </c>
    </row>
    <row r="335" spans="1:3" x14ac:dyDescent="0.15">
      <c r="A335" s="51">
        <v>362</v>
      </c>
      <c r="B335" s="61">
        <v>6362</v>
      </c>
      <c r="C335" s="62" t="s">
        <v>1997</v>
      </c>
    </row>
    <row r="336" spans="1:3" x14ac:dyDescent="0.15">
      <c r="A336" s="51">
        <v>363</v>
      </c>
      <c r="B336" s="61">
        <v>4363</v>
      </c>
      <c r="C336" s="62" t="s">
        <v>1998</v>
      </c>
    </row>
    <row r="337" spans="1:3" x14ac:dyDescent="0.15">
      <c r="A337" s="51">
        <v>364</v>
      </c>
      <c r="B337" s="61">
        <v>6364</v>
      </c>
      <c r="C337" s="62" t="s">
        <v>1999</v>
      </c>
    </row>
    <row r="338" spans="1:3" x14ac:dyDescent="0.15">
      <c r="A338" s="51">
        <v>365</v>
      </c>
      <c r="B338" s="61">
        <v>1365</v>
      </c>
      <c r="C338" s="62" t="s">
        <v>2000</v>
      </c>
    </row>
    <row r="339" spans="1:3" x14ac:dyDescent="0.15">
      <c r="A339" s="51">
        <v>366</v>
      </c>
      <c r="B339" s="61">
        <v>6366</v>
      </c>
      <c r="C339" s="62" t="s">
        <v>2001</v>
      </c>
    </row>
    <row r="340" spans="1:3" x14ac:dyDescent="0.15">
      <c r="A340" s="51">
        <v>367</v>
      </c>
      <c r="B340" s="61">
        <v>4367</v>
      </c>
      <c r="C340" s="62" t="s">
        <v>2002</v>
      </c>
    </row>
    <row r="341" spans="1:3" x14ac:dyDescent="0.15">
      <c r="A341" s="51">
        <v>368</v>
      </c>
      <c r="B341" s="61">
        <v>6368</v>
      </c>
      <c r="C341" s="62" t="s">
        <v>2003</v>
      </c>
    </row>
    <row r="342" spans="1:3" x14ac:dyDescent="0.15">
      <c r="A342" s="51">
        <v>369</v>
      </c>
      <c r="B342" s="61">
        <v>1369</v>
      </c>
      <c r="C342" s="62" t="s">
        <v>2004</v>
      </c>
    </row>
    <row r="343" spans="1:3" x14ac:dyDescent="0.15">
      <c r="A343" s="51">
        <v>370</v>
      </c>
      <c r="B343" s="61">
        <v>1370</v>
      </c>
      <c r="C343" s="62" t="s">
        <v>2005</v>
      </c>
    </row>
    <row r="344" spans="1:3" x14ac:dyDescent="0.15">
      <c r="A344" s="51">
        <v>371</v>
      </c>
      <c r="B344" s="61">
        <v>1371</v>
      </c>
      <c r="C344" s="62" t="s">
        <v>2006</v>
      </c>
    </row>
    <row r="345" spans="1:3" x14ac:dyDescent="0.15">
      <c r="A345" s="51">
        <v>372</v>
      </c>
      <c r="B345" s="61">
        <v>1372</v>
      </c>
      <c r="C345" s="62" t="s">
        <v>2007</v>
      </c>
    </row>
    <row r="346" spans="1:3" x14ac:dyDescent="0.15">
      <c r="A346" s="51">
        <v>373</v>
      </c>
      <c r="B346" s="61">
        <v>1373</v>
      </c>
      <c r="C346" s="62" t="s">
        <v>2008</v>
      </c>
    </row>
    <row r="347" spans="1:3" x14ac:dyDescent="0.15">
      <c r="A347" s="51">
        <v>374</v>
      </c>
      <c r="B347" s="61">
        <v>1374</v>
      </c>
      <c r="C347" s="62" t="s">
        <v>2009</v>
      </c>
    </row>
    <row r="348" spans="1:3" x14ac:dyDescent="0.15">
      <c r="A348" s="51">
        <v>375</v>
      </c>
      <c r="B348" s="61">
        <v>1375</v>
      </c>
      <c r="C348" s="62" t="s">
        <v>2010</v>
      </c>
    </row>
    <row r="349" spans="1:3" x14ac:dyDescent="0.15">
      <c r="A349" s="51">
        <v>376</v>
      </c>
      <c r="B349" s="61">
        <v>1376</v>
      </c>
      <c r="C349" s="62" t="s">
        <v>2011</v>
      </c>
    </row>
    <row r="350" spans="1:3" x14ac:dyDescent="0.15">
      <c r="A350" s="51">
        <v>377</v>
      </c>
      <c r="B350" s="61">
        <v>1377</v>
      </c>
      <c r="C350" s="62" t="s">
        <v>2012</v>
      </c>
    </row>
    <row r="351" spans="1:3" x14ac:dyDescent="0.15">
      <c r="A351" s="51">
        <v>378</v>
      </c>
      <c r="B351" s="61">
        <v>1378</v>
      </c>
      <c r="C351" s="62" t="s">
        <v>2013</v>
      </c>
    </row>
    <row r="352" spans="1:3" x14ac:dyDescent="0.15">
      <c r="A352" s="51">
        <v>379</v>
      </c>
      <c r="B352" s="61">
        <v>1379</v>
      </c>
      <c r="C352" s="62" t="s">
        <v>2014</v>
      </c>
    </row>
    <row r="353" spans="1:3" x14ac:dyDescent="0.15">
      <c r="A353" s="51">
        <v>380</v>
      </c>
      <c r="B353" s="61">
        <v>1380</v>
      </c>
      <c r="C353" s="62" t="s">
        <v>2015</v>
      </c>
    </row>
    <row r="354" spans="1:3" x14ac:dyDescent="0.15">
      <c r="A354" s="51">
        <v>381</v>
      </c>
      <c r="B354" s="61">
        <v>1381</v>
      </c>
      <c r="C354" s="62" t="s">
        <v>2016</v>
      </c>
    </row>
    <row r="355" spans="1:3" x14ac:dyDescent="0.15">
      <c r="A355" s="51">
        <v>382</v>
      </c>
      <c r="B355" s="61">
        <v>1382</v>
      </c>
      <c r="C355" s="62" t="s">
        <v>2017</v>
      </c>
    </row>
    <row r="356" spans="1:3" x14ac:dyDescent="0.15">
      <c r="A356" s="51">
        <v>383</v>
      </c>
      <c r="B356" s="61">
        <v>1383</v>
      </c>
      <c r="C356" s="62" t="s">
        <v>2018</v>
      </c>
    </row>
    <row r="357" spans="1:3" x14ac:dyDescent="0.15">
      <c r="A357" s="51">
        <v>384</v>
      </c>
      <c r="B357" s="61">
        <v>1384</v>
      </c>
      <c r="C357" s="62" t="s">
        <v>2019</v>
      </c>
    </row>
    <row r="358" spans="1:3" x14ac:dyDescent="0.15">
      <c r="A358" s="51">
        <v>385</v>
      </c>
      <c r="B358" s="61">
        <v>1385</v>
      </c>
      <c r="C358" s="62" t="s">
        <v>2020</v>
      </c>
    </row>
    <row r="359" spans="1:3" x14ac:dyDescent="0.15">
      <c r="A359" s="51">
        <v>386</v>
      </c>
      <c r="B359" s="61">
        <v>1386</v>
      </c>
      <c r="C359" s="62" t="s">
        <v>2021</v>
      </c>
    </row>
    <row r="360" spans="1:3" x14ac:dyDescent="0.15">
      <c r="A360" s="51">
        <v>387</v>
      </c>
      <c r="B360" s="61">
        <v>1387</v>
      </c>
      <c r="C360" s="62" t="s">
        <v>2022</v>
      </c>
    </row>
    <row r="361" spans="1:3" x14ac:dyDescent="0.15">
      <c r="A361" s="51">
        <v>388</v>
      </c>
      <c r="B361" s="61">
        <v>1388</v>
      </c>
      <c r="C361" s="62" t="s">
        <v>2023</v>
      </c>
    </row>
    <row r="362" spans="1:3" x14ac:dyDescent="0.15">
      <c r="A362" s="51">
        <v>389</v>
      </c>
      <c r="B362" s="61">
        <v>1389</v>
      </c>
      <c r="C362" s="62" t="s">
        <v>2024</v>
      </c>
    </row>
    <row r="363" spans="1:3" x14ac:dyDescent="0.15">
      <c r="A363" s="51">
        <v>390</v>
      </c>
      <c r="B363" s="61">
        <v>1390</v>
      </c>
      <c r="C363" s="62" t="s">
        <v>2025</v>
      </c>
    </row>
    <row r="364" spans="1:3" x14ac:dyDescent="0.15">
      <c r="A364" s="51">
        <v>391</v>
      </c>
      <c r="B364" s="61">
        <v>1391</v>
      </c>
      <c r="C364" s="62" t="s">
        <v>2026</v>
      </c>
    </row>
    <row r="365" spans="1:3" x14ac:dyDescent="0.15">
      <c r="A365" s="51">
        <v>392</v>
      </c>
      <c r="B365" s="61">
        <v>1392</v>
      </c>
      <c r="C365" s="62" t="s">
        <v>2027</v>
      </c>
    </row>
    <row r="366" spans="1:3" x14ac:dyDescent="0.15">
      <c r="A366" s="51">
        <v>393</v>
      </c>
      <c r="B366" s="61">
        <v>1393</v>
      </c>
      <c r="C366" s="62" t="s">
        <v>2028</v>
      </c>
    </row>
    <row r="367" spans="1:3" x14ac:dyDescent="0.15">
      <c r="A367" s="51">
        <v>394</v>
      </c>
      <c r="B367" s="61">
        <v>1394</v>
      </c>
      <c r="C367" s="62" t="s">
        <v>2029</v>
      </c>
    </row>
    <row r="368" spans="1:3" x14ac:dyDescent="0.15">
      <c r="A368" s="51">
        <v>395</v>
      </c>
      <c r="B368" s="61">
        <v>1395</v>
      </c>
      <c r="C368" s="62" t="s">
        <v>2030</v>
      </c>
    </row>
    <row r="369" spans="1:3" x14ac:dyDescent="0.15">
      <c r="A369" s="51">
        <v>396</v>
      </c>
      <c r="B369" s="61">
        <v>1396</v>
      </c>
      <c r="C369" s="62" t="s">
        <v>2031</v>
      </c>
    </row>
    <row r="370" spans="1:3" x14ac:dyDescent="0.15">
      <c r="A370" s="51">
        <v>397</v>
      </c>
      <c r="B370" s="61">
        <v>1397</v>
      </c>
      <c r="C370" s="62" t="s">
        <v>2032</v>
      </c>
    </row>
    <row r="371" spans="1:3" x14ac:dyDescent="0.15">
      <c r="A371" s="51">
        <v>398</v>
      </c>
      <c r="B371" s="61">
        <v>1398</v>
      </c>
      <c r="C371" s="62" t="s">
        <v>2033</v>
      </c>
    </row>
    <row r="372" spans="1:3" x14ac:dyDescent="0.15">
      <c r="A372" s="51">
        <v>399</v>
      </c>
      <c r="B372" s="61">
        <v>1399</v>
      </c>
      <c r="C372" s="62" t="s">
        <v>2034</v>
      </c>
    </row>
    <row r="373" spans="1:3" x14ac:dyDescent="0.15">
      <c r="A373" s="51">
        <v>400</v>
      </c>
      <c r="B373" s="61">
        <v>1400</v>
      </c>
      <c r="C373" s="62" t="s">
        <v>2035</v>
      </c>
    </row>
    <row r="374" spans="1:3" x14ac:dyDescent="0.15">
      <c r="A374" s="51">
        <v>401</v>
      </c>
      <c r="B374" s="61">
        <v>1401</v>
      </c>
      <c r="C374" s="62" t="s">
        <v>2036</v>
      </c>
    </row>
    <row r="375" spans="1:3" x14ac:dyDescent="0.15">
      <c r="A375" s="51">
        <v>402</v>
      </c>
      <c r="B375" s="61">
        <v>1402</v>
      </c>
      <c r="C375" s="62" t="s">
        <v>2037</v>
      </c>
    </row>
    <row r="376" spans="1:3" x14ac:dyDescent="0.15">
      <c r="A376" s="51">
        <v>403</v>
      </c>
      <c r="B376" s="61">
        <v>1403</v>
      </c>
      <c r="C376" s="62" t="s">
        <v>2038</v>
      </c>
    </row>
    <row r="377" spans="1:3" x14ac:dyDescent="0.15">
      <c r="A377" s="51">
        <v>404</v>
      </c>
      <c r="B377" s="61">
        <v>1404</v>
      </c>
      <c r="C377" s="62" t="s">
        <v>2039</v>
      </c>
    </row>
    <row r="378" spans="1:3" x14ac:dyDescent="0.15">
      <c r="A378" s="51">
        <v>405</v>
      </c>
      <c r="B378" s="61">
        <v>1405</v>
      </c>
      <c r="C378" s="62" t="s">
        <v>2040</v>
      </c>
    </row>
    <row r="379" spans="1:3" x14ac:dyDescent="0.15">
      <c r="A379" s="51">
        <v>406</v>
      </c>
      <c r="B379" s="61">
        <v>1406</v>
      </c>
      <c r="C379" s="62" t="s">
        <v>2041</v>
      </c>
    </row>
    <row r="380" spans="1:3" x14ac:dyDescent="0.15">
      <c r="A380" s="51">
        <v>407</v>
      </c>
      <c r="B380" s="61">
        <v>1407</v>
      </c>
      <c r="C380" s="62" t="s">
        <v>2042</v>
      </c>
    </row>
    <row r="381" spans="1:3" x14ac:dyDescent="0.15">
      <c r="A381" s="51">
        <v>408</v>
      </c>
      <c r="B381" s="61">
        <v>1408</v>
      </c>
      <c r="C381" s="62" t="s">
        <v>2043</v>
      </c>
    </row>
    <row r="382" spans="1:3" x14ac:dyDescent="0.15">
      <c r="A382" s="51">
        <v>409</v>
      </c>
      <c r="B382" s="61">
        <v>1409</v>
      </c>
      <c r="C382" s="62" t="s">
        <v>2044</v>
      </c>
    </row>
    <row r="383" spans="1:3" x14ac:dyDescent="0.15">
      <c r="A383" s="51">
        <v>410</v>
      </c>
      <c r="B383" s="61">
        <v>1410</v>
      </c>
      <c r="C383" s="62" t="s">
        <v>2045</v>
      </c>
    </row>
    <row r="384" spans="1:3" x14ac:dyDescent="0.15">
      <c r="A384" s="51">
        <v>411</v>
      </c>
      <c r="B384" s="61">
        <v>1411</v>
      </c>
      <c r="C384" s="62" t="s">
        <v>2046</v>
      </c>
    </row>
    <row r="385" spans="1:3" x14ac:dyDescent="0.15">
      <c r="A385" s="51">
        <v>412</v>
      </c>
      <c r="B385" s="61">
        <v>1412</v>
      </c>
      <c r="C385" s="62" t="s">
        <v>2047</v>
      </c>
    </row>
    <row r="386" spans="1:3" x14ac:dyDescent="0.15">
      <c r="A386" s="51">
        <v>413</v>
      </c>
      <c r="B386" s="61">
        <v>1413</v>
      </c>
      <c r="C386" s="62" t="s">
        <v>2048</v>
      </c>
    </row>
    <row r="387" spans="1:3" x14ac:dyDescent="0.15">
      <c r="A387" s="51">
        <v>414</v>
      </c>
      <c r="B387" s="61">
        <v>1414</v>
      </c>
      <c r="C387" s="62" t="s">
        <v>2049</v>
      </c>
    </row>
    <row r="388" spans="1:3" x14ac:dyDescent="0.15">
      <c r="A388" s="51">
        <v>415</v>
      </c>
      <c r="B388" s="61">
        <v>1415</v>
      </c>
      <c r="C388" s="62" t="s">
        <v>2050</v>
      </c>
    </row>
    <row r="389" spans="1:3" x14ac:dyDescent="0.15">
      <c r="A389" s="51">
        <v>416</v>
      </c>
      <c r="B389" s="61">
        <v>1416</v>
      </c>
      <c r="C389" s="62" t="s">
        <v>2051</v>
      </c>
    </row>
    <row r="390" spans="1:3" x14ac:dyDescent="0.15">
      <c r="A390" s="51">
        <v>417</v>
      </c>
      <c r="B390" s="61">
        <v>1417</v>
      </c>
      <c r="C390" s="62" t="s">
        <v>2052</v>
      </c>
    </row>
    <row r="391" spans="1:3" x14ac:dyDescent="0.15">
      <c r="A391" s="51">
        <v>418</v>
      </c>
      <c r="B391" s="61">
        <v>1418</v>
      </c>
      <c r="C391" s="62" t="s">
        <v>2053</v>
      </c>
    </row>
    <row r="392" spans="1:3" x14ac:dyDescent="0.15">
      <c r="A392" s="51">
        <v>419</v>
      </c>
      <c r="B392" s="61">
        <v>6419</v>
      </c>
      <c r="C392" s="62" t="s">
        <v>2054</v>
      </c>
    </row>
    <row r="393" spans="1:3" x14ac:dyDescent="0.15">
      <c r="A393" s="51">
        <v>420</v>
      </c>
      <c r="B393" s="61">
        <v>6420</v>
      </c>
      <c r="C393" s="62" t="s">
        <v>2055</v>
      </c>
    </row>
    <row r="394" spans="1:3" x14ac:dyDescent="0.15">
      <c r="A394" s="51">
        <v>421</v>
      </c>
      <c r="B394" s="61">
        <v>6421</v>
      </c>
      <c r="C394" s="62" t="s">
        <v>2056</v>
      </c>
    </row>
    <row r="395" spans="1:3" x14ac:dyDescent="0.15">
      <c r="A395" s="51">
        <v>422</v>
      </c>
      <c r="B395" s="61">
        <v>6422</v>
      </c>
      <c r="C395" s="62" t="s">
        <v>2057</v>
      </c>
    </row>
    <row r="396" spans="1:3" x14ac:dyDescent="0.15">
      <c r="A396" s="51">
        <v>423</v>
      </c>
      <c r="B396" s="61">
        <v>6423</v>
      </c>
      <c r="C396" s="62" t="s">
        <v>2058</v>
      </c>
    </row>
    <row r="397" spans="1:3" x14ac:dyDescent="0.15">
      <c r="A397" s="51">
        <v>424</v>
      </c>
      <c r="B397" s="61">
        <v>6424</v>
      </c>
      <c r="C397" s="62" t="s">
        <v>2059</v>
      </c>
    </row>
    <row r="398" spans="1:3" x14ac:dyDescent="0.15">
      <c r="A398" s="51">
        <v>425</v>
      </c>
      <c r="B398" s="61">
        <v>6425</v>
      </c>
      <c r="C398" s="62" t="s">
        <v>2060</v>
      </c>
    </row>
    <row r="399" spans="1:3" x14ac:dyDescent="0.15">
      <c r="A399" s="51">
        <v>426</v>
      </c>
      <c r="B399" s="61">
        <v>6426</v>
      </c>
      <c r="C399" s="62" t="s">
        <v>2061</v>
      </c>
    </row>
    <row r="400" spans="1:3" x14ac:dyDescent="0.15">
      <c r="A400" s="51">
        <v>427</v>
      </c>
      <c r="B400" s="61">
        <v>6427</v>
      </c>
      <c r="C400" s="62" t="s">
        <v>2062</v>
      </c>
    </row>
    <row r="401" spans="1:3" x14ac:dyDescent="0.15">
      <c r="A401" s="51">
        <v>428</v>
      </c>
      <c r="B401" s="61">
        <v>6428</v>
      </c>
      <c r="C401" s="62" t="s">
        <v>2063</v>
      </c>
    </row>
    <row r="402" spans="1:3" x14ac:dyDescent="0.15">
      <c r="A402" s="51">
        <v>429</v>
      </c>
      <c r="B402" s="61">
        <v>6429</v>
      </c>
      <c r="C402" s="62" t="s">
        <v>2064</v>
      </c>
    </row>
    <row r="403" spans="1:3" x14ac:dyDescent="0.15">
      <c r="A403" s="51">
        <v>430</v>
      </c>
      <c r="B403" s="61">
        <v>6430</v>
      </c>
      <c r="C403" s="62" t="s">
        <v>2065</v>
      </c>
    </row>
    <row r="404" spans="1:3" x14ac:dyDescent="0.15">
      <c r="A404" s="51">
        <v>431</v>
      </c>
      <c r="B404" s="61">
        <v>6431</v>
      </c>
      <c r="C404" s="62" t="s">
        <v>2066</v>
      </c>
    </row>
    <row r="405" spans="1:3" x14ac:dyDescent="0.15">
      <c r="A405" s="51">
        <v>432</v>
      </c>
      <c r="B405" s="61">
        <v>6432</v>
      </c>
      <c r="C405" s="62" t="s">
        <v>2067</v>
      </c>
    </row>
    <row r="406" spans="1:3" x14ac:dyDescent="0.15">
      <c r="A406" s="51">
        <v>433</v>
      </c>
      <c r="B406" s="61">
        <v>6433</v>
      </c>
      <c r="C406" s="62" t="s">
        <v>2068</v>
      </c>
    </row>
    <row r="407" spans="1:3" x14ac:dyDescent="0.15">
      <c r="A407" s="51">
        <v>434</v>
      </c>
      <c r="B407" s="61">
        <v>6434</v>
      </c>
      <c r="C407" s="62" t="s">
        <v>2069</v>
      </c>
    </row>
    <row r="408" spans="1:3" x14ac:dyDescent="0.15">
      <c r="A408" s="51">
        <v>435</v>
      </c>
      <c r="B408" s="61">
        <v>6435</v>
      </c>
      <c r="C408" s="62" t="s">
        <v>2070</v>
      </c>
    </row>
    <row r="409" spans="1:3" x14ac:dyDescent="0.15">
      <c r="A409" s="51">
        <v>436</v>
      </c>
      <c r="B409" s="61">
        <v>6436</v>
      </c>
      <c r="C409" s="62" t="s">
        <v>2071</v>
      </c>
    </row>
    <row r="410" spans="1:3" x14ac:dyDescent="0.15">
      <c r="A410" s="51">
        <v>437</v>
      </c>
      <c r="B410" s="61">
        <v>6437</v>
      </c>
      <c r="C410" s="62" t="s">
        <v>2072</v>
      </c>
    </row>
    <row r="411" spans="1:3" x14ac:dyDescent="0.15">
      <c r="A411" s="51">
        <v>438</v>
      </c>
      <c r="B411" s="61">
        <v>6438</v>
      </c>
      <c r="C411" s="62" t="s">
        <v>2073</v>
      </c>
    </row>
    <row r="412" spans="1:3" x14ac:dyDescent="0.15">
      <c r="A412" s="51">
        <v>439</v>
      </c>
      <c r="B412" s="61">
        <v>6439</v>
      </c>
      <c r="C412" s="62" t="s">
        <v>2074</v>
      </c>
    </row>
    <row r="413" spans="1:3" x14ac:dyDescent="0.15">
      <c r="A413" s="51">
        <v>440</v>
      </c>
      <c r="B413" s="61">
        <v>6440</v>
      </c>
      <c r="C413" s="62" t="s">
        <v>2075</v>
      </c>
    </row>
    <row r="414" spans="1:3" x14ac:dyDescent="0.15">
      <c r="A414" s="51">
        <v>441</v>
      </c>
      <c r="B414" s="61">
        <v>6441</v>
      </c>
      <c r="C414" s="62" t="s">
        <v>2076</v>
      </c>
    </row>
    <row r="415" spans="1:3" x14ac:dyDescent="0.15">
      <c r="A415" s="51">
        <v>442</v>
      </c>
      <c r="B415" s="61">
        <v>6442</v>
      </c>
      <c r="C415" s="62" t="s">
        <v>2077</v>
      </c>
    </row>
    <row r="416" spans="1:3" x14ac:dyDescent="0.15">
      <c r="A416" s="51">
        <v>443</v>
      </c>
      <c r="B416" s="61">
        <v>6443</v>
      </c>
      <c r="C416" s="62" t="s">
        <v>2078</v>
      </c>
    </row>
    <row r="417" spans="1:3" x14ac:dyDescent="0.15">
      <c r="A417" s="51">
        <v>444</v>
      </c>
      <c r="B417" s="61">
        <v>6444</v>
      </c>
      <c r="C417" s="62" t="s">
        <v>2079</v>
      </c>
    </row>
    <row r="418" spans="1:3" x14ac:dyDescent="0.15">
      <c r="A418" s="51">
        <v>445</v>
      </c>
      <c r="B418" s="61">
        <v>6445</v>
      </c>
      <c r="C418" s="62" t="s">
        <v>2080</v>
      </c>
    </row>
    <row r="419" spans="1:3" x14ac:dyDescent="0.15">
      <c r="A419" s="51">
        <v>446</v>
      </c>
      <c r="B419" s="61">
        <v>6446</v>
      </c>
      <c r="C419" s="62" t="s">
        <v>2081</v>
      </c>
    </row>
    <row r="420" spans="1:3" x14ac:dyDescent="0.15">
      <c r="A420" s="51">
        <v>447</v>
      </c>
      <c r="B420" s="61">
        <v>6447</v>
      </c>
      <c r="C420" s="62" t="s">
        <v>2082</v>
      </c>
    </row>
    <row r="421" spans="1:3" x14ac:dyDescent="0.15">
      <c r="A421" s="51">
        <v>448</v>
      </c>
      <c r="B421" s="61">
        <v>6448</v>
      </c>
      <c r="C421" s="62" t="s">
        <v>2083</v>
      </c>
    </row>
    <row r="422" spans="1:3" x14ac:dyDescent="0.15">
      <c r="A422" s="51">
        <v>449</v>
      </c>
      <c r="B422" s="61">
        <v>4449</v>
      </c>
      <c r="C422" s="62" t="s">
        <v>2084</v>
      </c>
    </row>
    <row r="423" spans="1:3" x14ac:dyDescent="0.15">
      <c r="A423" s="51">
        <v>450</v>
      </c>
      <c r="B423" s="61">
        <v>4450</v>
      </c>
      <c r="C423" s="62" t="s">
        <v>2085</v>
      </c>
    </row>
    <row r="424" spans="1:3" x14ac:dyDescent="0.15">
      <c r="A424" s="51">
        <v>451</v>
      </c>
      <c r="B424" s="61">
        <v>4451</v>
      </c>
      <c r="C424" s="62" t="s">
        <v>2086</v>
      </c>
    </row>
    <row r="425" spans="1:3" x14ac:dyDescent="0.15">
      <c r="A425" s="51">
        <v>452</v>
      </c>
      <c r="B425" s="61">
        <v>4452</v>
      </c>
      <c r="C425" s="62" t="s">
        <v>2087</v>
      </c>
    </row>
    <row r="426" spans="1:3" x14ac:dyDescent="0.15">
      <c r="A426" s="51">
        <v>453</v>
      </c>
      <c r="B426" s="61">
        <v>4453</v>
      </c>
      <c r="C426" s="62" t="s">
        <v>2088</v>
      </c>
    </row>
    <row r="427" spans="1:3" x14ac:dyDescent="0.15">
      <c r="A427" s="51">
        <v>454</v>
      </c>
      <c r="B427" s="61">
        <v>4454</v>
      </c>
      <c r="C427" s="62" t="s">
        <v>2089</v>
      </c>
    </row>
    <row r="428" spans="1:3" x14ac:dyDescent="0.15">
      <c r="A428" s="51">
        <v>455</v>
      </c>
      <c r="B428" s="61">
        <v>4455</v>
      </c>
      <c r="C428" s="62" t="s">
        <v>2090</v>
      </c>
    </row>
    <row r="429" spans="1:3" x14ac:dyDescent="0.15">
      <c r="A429" s="51">
        <v>456</v>
      </c>
      <c r="B429" s="61">
        <v>4456</v>
      </c>
      <c r="C429" s="62" t="s">
        <v>2091</v>
      </c>
    </row>
    <row r="430" spans="1:3" x14ac:dyDescent="0.15">
      <c r="A430" s="51">
        <v>457</v>
      </c>
      <c r="B430" s="61">
        <v>4457</v>
      </c>
      <c r="C430" s="62" t="s">
        <v>2092</v>
      </c>
    </row>
    <row r="431" spans="1:3" x14ac:dyDescent="0.15">
      <c r="A431" s="51">
        <v>458</v>
      </c>
      <c r="B431" s="61">
        <v>4458</v>
      </c>
      <c r="C431" s="62" t="s">
        <v>2093</v>
      </c>
    </row>
    <row r="432" spans="1:3" x14ac:dyDescent="0.15">
      <c r="A432" s="51">
        <v>459</v>
      </c>
      <c r="B432" s="61">
        <v>4459</v>
      </c>
      <c r="C432" s="62" t="s">
        <v>2094</v>
      </c>
    </row>
    <row r="433" spans="1:3" x14ac:dyDescent="0.15">
      <c r="A433" s="51">
        <v>460</v>
      </c>
      <c r="B433" s="61">
        <v>4460</v>
      </c>
      <c r="C433" s="62" t="s">
        <v>2095</v>
      </c>
    </row>
    <row r="434" spans="1:3" x14ac:dyDescent="0.15">
      <c r="A434" s="51">
        <v>461</v>
      </c>
      <c r="B434" s="61">
        <v>4461</v>
      </c>
      <c r="C434" s="62" t="s">
        <v>2096</v>
      </c>
    </row>
    <row r="435" spans="1:3" x14ac:dyDescent="0.15">
      <c r="A435" s="51">
        <v>462</v>
      </c>
      <c r="B435" s="61">
        <v>4462</v>
      </c>
      <c r="C435" s="62" t="s">
        <v>2097</v>
      </c>
    </row>
    <row r="436" spans="1:3" x14ac:dyDescent="0.15">
      <c r="A436" s="51">
        <v>463</v>
      </c>
      <c r="B436" s="61">
        <v>4463</v>
      </c>
      <c r="C436" s="62" t="s">
        <v>2098</v>
      </c>
    </row>
    <row r="437" spans="1:3" x14ac:dyDescent="0.15">
      <c r="A437" s="51">
        <v>464</v>
      </c>
      <c r="B437" s="61">
        <v>4464</v>
      </c>
      <c r="C437" s="62" t="s">
        <v>2099</v>
      </c>
    </row>
    <row r="438" spans="1:3" x14ac:dyDescent="0.15">
      <c r="A438" s="51">
        <v>465</v>
      </c>
      <c r="B438" s="61">
        <v>4465</v>
      </c>
      <c r="C438" s="62" t="s">
        <v>2100</v>
      </c>
    </row>
    <row r="439" spans="1:3" x14ac:dyDescent="0.15">
      <c r="A439" s="51">
        <v>466</v>
      </c>
      <c r="B439" s="61">
        <v>4466</v>
      </c>
      <c r="C439" s="62" t="s">
        <v>2101</v>
      </c>
    </row>
    <row r="440" spans="1:3" x14ac:dyDescent="0.15">
      <c r="A440" s="51">
        <v>467</v>
      </c>
      <c r="B440" s="61">
        <v>4467</v>
      </c>
      <c r="C440" s="62" t="s">
        <v>2102</v>
      </c>
    </row>
    <row r="441" spans="1:3" x14ac:dyDescent="0.15">
      <c r="A441" s="51">
        <v>468</v>
      </c>
      <c r="B441" s="61">
        <v>4468</v>
      </c>
      <c r="C441" s="62" t="s">
        <v>2103</v>
      </c>
    </row>
    <row r="442" spans="1:3" x14ac:dyDescent="0.15">
      <c r="A442" s="51">
        <v>469</v>
      </c>
      <c r="B442" s="61">
        <v>1469</v>
      </c>
      <c r="C442" s="62" t="s">
        <v>2104</v>
      </c>
    </row>
    <row r="443" spans="1:3" x14ac:dyDescent="0.15">
      <c r="A443" s="51">
        <v>470</v>
      </c>
      <c r="B443" s="61">
        <v>1470</v>
      </c>
      <c r="C443" s="62" t="s">
        <v>2105</v>
      </c>
    </row>
    <row r="444" spans="1:3" x14ac:dyDescent="0.15">
      <c r="A444" s="51">
        <v>471</v>
      </c>
      <c r="B444" s="61">
        <v>1471</v>
      </c>
      <c r="C444" s="62" t="s">
        <v>2106</v>
      </c>
    </row>
    <row r="445" spans="1:3" x14ac:dyDescent="0.15">
      <c r="A445" s="51">
        <v>472</v>
      </c>
      <c r="B445" s="61">
        <v>1472</v>
      </c>
      <c r="C445" s="62" t="s">
        <v>2107</v>
      </c>
    </row>
    <row r="446" spans="1:3" x14ac:dyDescent="0.15">
      <c r="A446" s="51">
        <v>473</v>
      </c>
      <c r="B446" s="61">
        <v>1473</v>
      </c>
      <c r="C446" s="62" t="s">
        <v>2108</v>
      </c>
    </row>
    <row r="447" spans="1:3" x14ac:dyDescent="0.15">
      <c r="A447" s="51">
        <v>474</v>
      </c>
      <c r="B447" s="61">
        <v>1474</v>
      </c>
      <c r="C447" s="62" t="s">
        <v>2109</v>
      </c>
    </row>
    <row r="448" spans="1:3" x14ac:dyDescent="0.15">
      <c r="A448" s="51">
        <v>475</v>
      </c>
      <c r="B448" s="61">
        <v>1475</v>
      </c>
      <c r="C448" s="62" t="s">
        <v>2110</v>
      </c>
    </row>
    <row r="449" spans="1:3" x14ac:dyDescent="0.15">
      <c r="A449" s="51">
        <v>476</v>
      </c>
      <c r="B449" s="61">
        <v>1476</v>
      </c>
      <c r="C449" s="62" t="s">
        <v>2111</v>
      </c>
    </row>
    <row r="450" spans="1:3" x14ac:dyDescent="0.15">
      <c r="A450" s="51">
        <v>477</v>
      </c>
      <c r="B450" s="61">
        <v>1477</v>
      </c>
      <c r="C450" s="62" t="s">
        <v>2112</v>
      </c>
    </row>
    <row r="451" spans="1:3" x14ac:dyDescent="0.15">
      <c r="A451" s="51">
        <v>478</v>
      </c>
      <c r="B451" s="61">
        <v>1478</v>
      </c>
      <c r="C451" s="62" t="s">
        <v>2113</v>
      </c>
    </row>
    <row r="452" spans="1:3" x14ac:dyDescent="0.15">
      <c r="A452" s="51">
        <v>479</v>
      </c>
      <c r="B452" s="61">
        <v>1479</v>
      </c>
      <c r="C452" s="62" t="s">
        <v>2114</v>
      </c>
    </row>
    <row r="453" spans="1:3" x14ac:dyDescent="0.15">
      <c r="A453" s="51">
        <v>480</v>
      </c>
      <c r="B453" s="61">
        <v>1480</v>
      </c>
      <c r="C453" s="62" t="s">
        <v>2115</v>
      </c>
    </row>
    <row r="454" spans="1:3" x14ac:dyDescent="0.15">
      <c r="A454" s="51">
        <v>481</v>
      </c>
      <c r="B454" s="61">
        <v>1481</v>
      </c>
      <c r="C454" s="62" t="s">
        <v>2116</v>
      </c>
    </row>
    <row r="455" spans="1:3" x14ac:dyDescent="0.15">
      <c r="A455" s="51">
        <v>482</v>
      </c>
      <c r="B455" s="61">
        <v>1482</v>
      </c>
      <c r="C455" s="62" t="s">
        <v>2117</v>
      </c>
    </row>
    <row r="456" spans="1:3" x14ac:dyDescent="0.15">
      <c r="A456" s="51">
        <v>483</v>
      </c>
      <c r="B456" s="61">
        <v>1483</v>
      </c>
      <c r="C456" s="62" t="s">
        <v>2118</v>
      </c>
    </row>
    <row r="457" spans="1:3" x14ac:dyDescent="0.15">
      <c r="A457" s="51">
        <v>484</v>
      </c>
      <c r="B457" s="61">
        <v>1484</v>
      </c>
      <c r="C457" s="62" t="s">
        <v>2119</v>
      </c>
    </row>
    <row r="458" spans="1:3" x14ac:dyDescent="0.15">
      <c r="A458" s="51">
        <v>485</v>
      </c>
      <c r="B458" s="61">
        <v>1485</v>
      </c>
      <c r="C458" s="62" t="s">
        <v>2120</v>
      </c>
    </row>
    <row r="459" spans="1:3" x14ac:dyDescent="0.15">
      <c r="A459" s="51">
        <v>486</v>
      </c>
      <c r="B459" s="61">
        <v>1486</v>
      </c>
      <c r="C459" s="62" t="s">
        <v>2121</v>
      </c>
    </row>
    <row r="460" spans="1:3" x14ac:dyDescent="0.15">
      <c r="A460" s="51">
        <v>487</v>
      </c>
      <c r="B460" s="61">
        <v>1487</v>
      </c>
      <c r="C460" s="62" t="s">
        <v>2122</v>
      </c>
    </row>
    <row r="461" spans="1:3" x14ac:dyDescent="0.15">
      <c r="A461" s="51">
        <v>488</v>
      </c>
      <c r="B461" s="61">
        <v>1488</v>
      </c>
      <c r="C461" s="62" t="s">
        <v>2123</v>
      </c>
    </row>
    <row r="462" spans="1:3" x14ac:dyDescent="0.15">
      <c r="A462" s="51">
        <v>489</v>
      </c>
      <c r="B462" s="61">
        <v>1489</v>
      </c>
      <c r="C462" s="62" t="s">
        <v>2124</v>
      </c>
    </row>
    <row r="463" spans="1:3" x14ac:dyDescent="0.15">
      <c r="A463" s="51">
        <v>490</v>
      </c>
      <c r="B463" s="61">
        <v>1490</v>
      </c>
      <c r="C463" s="62" t="s">
        <v>2125</v>
      </c>
    </row>
    <row r="464" spans="1:3" x14ac:dyDescent="0.15">
      <c r="A464" s="51">
        <v>491</v>
      </c>
      <c r="B464" s="61">
        <v>1491</v>
      </c>
      <c r="C464" s="62" t="s">
        <v>2126</v>
      </c>
    </row>
    <row r="465" spans="1:3" x14ac:dyDescent="0.15">
      <c r="A465" s="51">
        <v>492</v>
      </c>
      <c r="B465" s="61">
        <v>1492</v>
      </c>
      <c r="C465" s="62" t="s">
        <v>2127</v>
      </c>
    </row>
    <row r="466" spans="1:3" x14ac:dyDescent="0.15">
      <c r="A466" s="51">
        <v>493</v>
      </c>
      <c r="B466" s="61">
        <v>1493</v>
      </c>
      <c r="C466" s="62" t="s">
        <v>2128</v>
      </c>
    </row>
    <row r="467" spans="1:3" x14ac:dyDescent="0.15">
      <c r="A467" s="51">
        <v>494</v>
      </c>
      <c r="B467" s="61">
        <v>1494</v>
      </c>
      <c r="C467" s="62" t="s">
        <v>2129</v>
      </c>
    </row>
    <row r="468" spans="1:3" x14ac:dyDescent="0.15">
      <c r="A468" s="51">
        <v>495</v>
      </c>
      <c r="B468" s="61">
        <v>1495</v>
      </c>
      <c r="C468" s="62" t="s">
        <v>2130</v>
      </c>
    </row>
    <row r="469" spans="1:3" x14ac:dyDescent="0.15">
      <c r="A469" s="51">
        <v>496</v>
      </c>
      <c r="B469" s="61">
        <v>1496</v>
      </c>
      <c r="C469" s="62" t="s">
        <v>2131</v>
      </c>
    </row>
    <row r="470" spans="1:3" x14ac:dyDescent="0.15">
      <c r="A470" s="51">
        <v>497</v>
      </c>
      <c r="B470" s="61">
        <v>1497</v>
      </c>
      <c r="C470" s="62" t="s">
        <v>2132</v>
      </c>
    </row>
    <row r="471" spans="1:3" x14ac:dyDescent="0.15">
      <c r="A471" s="51">
        <v>498</v>
      </c>
      <c r="B471" s="61">
        <v>1498</v>
      </c>
      <c r="C471" s="62" t="s">
        <v>2133</v>
      </c>
    </row>
    <row r="472" spans="1:3" x14ac:dyDescent="0.15">
      <c r="A472" s="51">
        <v>499</v>
      </c>
      <c r="B472" s="61">
        <v>1499</v>
      </c>
      <c r="C472" s="62" t="s">
        <v>2134</v>
      </c>
    </row>
    <row r="473" spans="1:3" x14ac:dyDescent="0.15">
      <c r="A473" s="51">
        <v>500</v>
      </c>
      <c r="B473" s="61">
        <v>1500</v>
      </c>
      <c r="C473" s="62" t="s">
        <v>2135</v>
      </c>
    </row>
    <row r="474" spans="1:3" x14ac:dyDescent="0.15">
      <c r="A474" s="51">
        <v>501</v>
      </c>
      <c r="B474" s="61">
        <v>1501</v>
      </c>
      <c r="C474" s="62" t="s">
        <v>2136</v>
      </c>
    </row>
    <row r="475" spans="1:3" x14ac:dyDescent="0.15">
      <c r="A475" s="51">
        <v>502</v>
      </c>
      <c r="B475" s="61">
        <v>1502</v>
      </c>
      <c r="C475" s="62" t="s">
        <v>2137</v>
      </c>
    </row>
    <row r="476" spans="1:3" x14ac:dyDescent="0.15">
      <c r="A476" s="51">
        <v>503</v>
      </c>
      <c r="B476" s="61">
        <v>1503</v>
      </c>
      <c r="C476" s="62" t="s">
        <v>2138</v>
      </c>
    </row>
    <row r="477" spans="1:3" x14ac:dyDescent="0.15">
      <c r="A477" s="51">
        <v>504</v>
      </c>
      <c r="B477" s="61">
        <v>1504</v>
      </c>
      <c r="C477" s="62" t="s">
        <v>2139</v>
      </c>
    </row>
    <row r="478" spans="1:3" x14ac:dyDescent="0.15">
      <c r="A478" s="51">
        <v>505</v>
      </c>
      <c r="B478" s="61">
        <v>1505</v>
      </c>
      <c r="C478" s="62" t="s">
        <v>2140</v>
      </c>
    </row>
    <row r="479" spans="1:3" x14ac:dyDescent="0.15">
      <c r="A479" s="51">
        <v>506</v>
      </c>
      <c r="B479" s="61">
        <v>1506</v>
      </c>
      <c r="C479" s="62" t="s">
        <v>2141</v>
      </c>
    </row>
    <row r="480" spans="1:3" x14ac:dyDescent="0.15">
      <c r="A480" s="51">
        <v>507</v>
      </c>
      <c r="B480" s="61">
        <v>1507</v>
      </c>
      <c r="C480" s="62" t="s">
        <v>2142</v>
      </c>
    </row>
    <row r="481" spans="1:3" x14ac:dyDescent="0.15">
      <c r="A481" s="51">
        <v>508</v>
      </c>
      <c r="B481" s="61">
        <v>1508</v>
      </c>
      <c r="C481" s="62" t="s">
        <v>2143</v>
      </c>
    </row>
    <row r="482" spans="1:3" x14ac:dyDescent="0.15">
      <c r="A482" s="51">
        <v>509</v>
      </c>
      <c r="B482" s="61">
        <v>1509</v>
      </c>
      <c r="C482" s="62" t="s">
        <v>2144</v>
      </c>
    </row>
    <row r="483" spans="1:3" x14ac:dyDescent="0.15">
      <c r="A483" s="51">
        <v>510</v>
      </c>
      <c r="B483" s="61">
        <v>1510</v>
      </c>
      <c r="C483" s="62" t="s">
        <v>2145</v>
      </c>
    </row>
    <row r="484" spans="1:3" x14ac:dyDescent="0.15">
      <c r="A484" s="51">
        <v>511</v>
      </c>
      <c r="B484" s="61">
        <v>1511</v>
      </c>
      <c r="C484" s="62" t="s">
        <v>2146</v>
      </c>
    </row>
    <row r="485" spans="1:3" x14ac:dyDescent="0.15">
      <c r="A485" s="51">
        <v>512</v>
      </c>
      <c r="B485" s="61">
        <v>1512</v>
      </c>
      <c r="C485" s="62" t="s">
        <v>2147</v>
      </c>
    </row>
    <row r="486" spans="1:3" x14ac:dyDescent="0.15">
      <c r="A486" s="51">
        <v>513</v>
      </c>
      <c r="B486" s="61">
        <v>1513</v>
      </c>
      <c r="C486" s="62" t="s">
        <v>2148</v>
      </c>
    </row>
    <row r="487" spans="1:3" x14ac:dyDescent="0.15">
      <c r="A487" s="51">
        <v>514</v>
      </c>
      <c r="B487" s="61">
        <v>1514</v>
      </c>
      <c r="C487" s="62" t="s">
        <v>2149</v>
      </c>
    </row>
    <row r="488" spans="1:3" x14ac:dyDescent="0.15">
      <c r="A488" s="51">
        <v>515</v>
      </c>
      <c r="B488" s="61">
        <v>1515</v>
      </c>
      <c r="C488" s="62" t="s">
        <v>2150</v>
      </c>
    </row>
    <row r="489" spans="1:3" x14ac:dyDescent="0.15">
      <c r="A489" s="51">
        <v>516</v>
      </c>
      <c r="B489" s="61">
        <v>1516</v>
      </c>
      <c r="C489" s="62" t="s">
        <v>2151</v>
      </c>
    </row>
    <row r="490" spans="1:3" x14ac:dyDescent="0.15">
      <c r="A490" s="51">
        <v>517</v>
      </c>
      <c r="B490" s="61">
        <v>1517</v>
      </c>
      <c r="C490" s="62" t="s">
        <v>2152</v>
      </c>
    </row>
    <row r="491" spans="1:3" x14ac:dyDescent="0.15">
      <c r="A491" s="51">
        <v>518</v>
      </c>
      <c r="B491" s="61">
        <v>1518</v>
      </c>
      <c r="C491" s="62" t="s">
        <v>2153</v>
      </c>
    </row>
    <row r="492" spans="1:3" x14ac:dyDescent="0.15">
      <c r="A492" s="51">
        <v>519</v>
      </c>
      <c r="B492" s="61">
        <v>1519</v>
      </c>
      <c r="C492" s="62" t="s">
        <v>2154</v>
      </c>
    </row>
    <row r="493" spans="1:3" x14ac:dyDescent="0.15">
      <c r="A493" s="51">
        <v>520</v>
      </c>
      <c r="B493" s="61">
        <v>1520</v>
      </c>
      <c r="C493" s="62" t="s">
        <v>2155</v>
      </c>
    </row>
    <row r="494" spans="1:3" x14ac:dyDescent="0.15">
      <c r="A494" s="51">
        <v>521</v>
      </c>
      <c r="B494" s="61">
        <v>4521</v>
      </c>
      <c r="C494" s="62" t="s">
        <v>2156</v>
      </c>
    </row>
    <row r="495" spans="1:3" x14ac:dyDescent="0.15">
      <c r="A495" s="51">
        <v>522</v>
      </c>
      <c r="B495" s="61">
        <v>4522</v>
      </c>
      <c r="C495" s="62" t="s">
        <v>2157</v>
      </c>
    </row>
    <row r="496" spans="1:3" x14ac:dyDescent="0.15">
      <c r="A496" s="51">
        <v>523</v>
      </c>
      <c r="B496" s="61">
        <v>4523</v>
      </c>
      <c r="C496" s="62" t="s">
        <v>2158</v>
      </c>
    </row>
    <row r="497" spans="1:3" x14ac:dyDescent="0.15">
      <c r="A497" s="51">
        <v>524</v>
      </c>
      <c r="B497" s="61">
        <v>4524</v>
      </c>
      <c r="C497" s="62" t="s">
        <v>2159</v>
      </c>
    </row>
    <row r="498" spans="1:3" x14ac:dyDescent="0.15">
      <c r="A498" s="51">
        <v>525</v>
      </c>
      <c r="B498" s="61">
        <v>4525</v>
      </c>
      <c r="C498" s="62" t="s">
        <v>2160</v>
      </c>
    </row>
    <row r="499" spans="1:3" x14ac:dyDescent="0.15">
      <c r="A499" s="51">
        <v>526</v>
      </c>
      <c r="B499" s="61">
        <v>4526</v>
      </c>
      <c r="C499" s="62" t="s">
        <v>2161</v>
      </c>
    </row>
    <row r="500" spans="1:3" x14ac:dyDescent="0.15">
      <c r="A500" s="51">
        <v>527</v>
      </c>
      <c r="B500" s="61">
        <v>4527</v>
      </c>
      <c r="C500" s="62" t="s">
        <v>2162</v>
      </c>
    </row>
    <row r="501" spans="1:3" x14ac:dyDescent="0.15">
      <c r="A501" s="51">
        <v>528</v>
      </c>
      <c r="B501" s="61">
        <v>4528</v>
      </c>
      <c r="C501" s="62" t="s">
        <v>2163</v>
      </c>
    </row>
    <row r="502" spans="1:3" x14ac:dyDescent="0.15">
      <c r="A502" s="51">
        <v>529</v>
      </c>
      <c r="B502" s="61">
        <v>4529</v>
      </c>
      <c r="C502" s="62" t="s">
        <v>2164</v>
      </c>
    </row>
    <row r="503" spans="1:3" x14ac:dyDescent="0.15">
      <c r="A503" s="51">
        <v>530</v>
      </c>
      <c r="B503" s="61">
        <v>4530</v>
      </c>
      <c r="C503" s="62" t="s">
        <v>2165</v>
      </c>
    </row>
    <row r="504" spans="1:3" x14ac:dyDescent="0.15">
      <c r="A504" s="51">
        <v>531</v>
      </c>
      <c r="B504" s="61">
        <v>4531</v>
      </c>
      <c r="C504" s="62" t="s">
        <v>2166</v>
      </c>
    </row>
    <row r="505" spans="1:3" x14ac:dyDescent="0.15">
      <c r="A505" s="51">
        <v>532</v>
      </c>
      <c r="B505" s="61">
        <v>4532</v>
      </c>
      <c r="C505" s="62" t="s">
        <v>2167</v>
      </c>
    </row>
    <row r="506" spans="1:3" x14ac:dyDescent="0.15">
      <c r="A506" s="51">
        <v>533</v>
      </c>
      <c r="B506" s="61">
        <v>4533</v>
      </c>
      <c r="C506" s="62" t="s">
        <v>2168</v>
      </c>
    </row>
    <row r="507" spans="1:3" x14ac:dyDescent="0.15">
      <c r="A507" s="51">
        <v>534</v>
      </c>
      <c r="B507" s="61">
        <v>4534</v>
      </c>
      <c r="C507" s="62" t="s">
        <v>2169</v>
      </c>
    </row>
    <row r="508" spans="1:3" x14ac:dyDescent="0.15">
      <c r="A508" s="51">
        <v>535</v>
      </c>
      <c r="B508" s="61">
        <v>4535</v>
      </c>
      <c r="C508" s="62" t="s">
        <v>2170</v>
      </c>
    </row>
    <row r="509" spans="1:3" x14ac:dyDescent="0.15">
      <c r="A509" s="51">
        <v>536</v>
      </c>
      <c r="B509" s="61">
        <v>4536</v>
      </c>
      <c r="C509" s="62" t="s">
        <v>2171</v>
      </c>
    </row>
    <row r="510" spans="1:3" x14ac:dyDescent="0.15">
      <c r="A510" s="51">
        <v>537</v>
      </c>
      <c r="B510" s="61">
        <v>4537</v>
      </c>
      <c r="C510" s="62" t="s">
        <v>2172</v>
      </c>
    </row>
    <row r="511" spans="1:3" x14ac:dyDescent="0.15">
      <c r="A511" s="51">
        <v>538</v>
      </c>
      <c r="B511" s="61">
        <v>4538</v>
      </c>
      <c r="C511" s="62" t="s">
        <v>2173</v>
      </c>
    </row>
    <row r="512" spans="1:3" x14ac:dyDescent="0.15">
      <c r="A512" s="51">
        <v>539</v>
      </c>
      <c r="B512" s="61">
        <v>4539</v>
      </c>
      <c r="C512" s="62" t="s">
        <v>2174</v>
      </c>
    </row>
    <row r="513" spans="1:3" x14ac:dyDescent="0.15">
      <c r="A513" s="51">
        <v>540</v>
      </c>
      <c r="B513" s="61">
        <v>4540</v>
      </c>
      <c r="C513" s="62" t="s">
        <v>2175</v>
      </c>
    </row>
    <row r="514" spans="1:3" x14ac:dyDescent="0.15">
      <c r="A514" s="51">
        <v>541</v>
      </c>
      <c r="B514" s="61">
        <v>4541</v>
      </c>
      <c r="C514" s="62" t="s">
        <v>2176</v>
      </c>
    </row>
    <row r="515" spans="1:3" x14ac:dyDescent="0.15">
      <c r="A515" s="51">
        <v>542</v>
      </c>
      <c r="B515" s="61">
        <v>4542</v>
      </c>
      <c r="C515" s="62" t="s">
        <v>2177</v>
      </c>
    </row>
    <row r="516" spans="1:3" x14ac:dyDescent="0.15">
      <c r="A516" s="51">
        <v>543</v>
      </c>
      <c r="B516" s="61">
        <v>4543</v>
      </c>
      <c r="C516" s="62" t="s">
        <v>2178</v>
      </c>
    </row>
    <row r="517" spans="1:3" x14ac:dyDescent="0.15">
      <c r="A517" s="51">
        <v>544</v>
      </c>
      <c r="B517" s="61">
        <v>4544</v>
      </c>
      <c r="C517" s="62" t="s">
        <v>2179</v>
      </c>
    </row>
    <row r="518" spans="1:3" x14ac:dyDescent="0.15">
      <c r="A518" s="51">
        <v>545</v>
      </c>
      <c r="B518" s="61">
        <v>4545</v>
      </c>
      <c r="C518" s="62" t="s">
        <v>2180</v>
      </c>
    </row>
    <row r="519" spans="1:3" x14ac:dyDescent="0.15">
      <c r="A519" s="51">
        <v>546</v>
      </c>
      <c r="B519" s="61">
        <v>4546</v>
      </c>
      <c r="C519" s="62" t="s">
        <v>2181</v>
      </c>
    </row>
    <row r="520" spans="1:3" x14ac:dyDescent="0.15">
      <c r="A520" s="51">
        <v>547</v>
      </c>
      <c r="B520" s="61">
        <v>4547</v>
      </c>
      <c r="C520" s="62" t="s">
        <v>2182</v>
      </c>
    </row>
    <row r="521" spans="1:3" x14ac:dyDescent="0.15">
      <c r="A521" s="51">
        <v>548</v>
      </c>
      <c r="B521" s="61">
        <v>4548</v>
      </c>
      <c r="C521" s="62" t="s">
        <v>2183</v>
      </c>
    </row>
    <row r="522" spans="1:3" x14ac:dyDescent="0.15">
      <c r="A522" s="51">
        <v>549</v>
      </c>
      <c r="B522" s="61">
        <v>4549</v>
      </c>
      <c r="C522" s="62" t="s">
        <v>2184</v>
      </c>
    </row>
    <row r="523" spans="1:3" x14ac:dyDescent="0.15">
      <c r="A523" s="51">
        <v>550</v>
      </c>
      <c r="B523" s="61">
        <v>4550</v>
      </c>
      <c r="C523" s="62" t="s">
        <v>2185</v>
      </c>
    </row>
    <row r="524" spans="1:3" x14ac:dyDescent="0.15">
      <c r="A524" s="51">
        <v>551</v>
      </c>
      <c r="B524" s="61">
        <v>4551</v>
      </c>
      <c r="C524" s="62" t="s">
        <v>2186</v>
      </c>
    </row>
    <row r="525" spans="1:3" x14ac:dyDescent="0.15">
      <c r="A525" s="51">
        <v>552</v>
      </c>
      <c r="B525" s="61">
        <v>4552</v>
      </c>
      <c r="C525" s="62" t="s">
        <v>2187</v>
      </c>
    </row>
    <row r="526" spans="1:3" x14ac:dyDescent="0.15">
      <c r="A526" s="51">
        <v>553</v>
      </c>
      <c r="B526" s="61">
        <v>4553</v>
      </c>
      <c r="C526" s="62" t="s">
        <v>2188</v>
      </c>
    </row>
    <row r="527" spans="1:3" x14ac:dyDescent="0.15">
      <c r="A527" s="51">
        <v>554</v>
      </c>
      <c r="B527" s="61">
        <v>4554</v>
      </c>
      <c r="C527" s="62" t="s">
        <v>2189</v>
      </c>
    </row>
    <row r="528" spans="1:3" x14ac:dyDescent="0.15">
      <c r="A528" s="51">
        <v>555</v>
      </c>
      <c r="B528" s="61">
        <v>4555</v>
      </c>
      <c r="C528" s="62" t="s">
        <v>2190</v>
      </c>
    </row>
    <row r="529" spans="1:3" x14ac:dyDescent="0.15">
      <c r="A529" s="51">
        <v>556</v>
      </c>
      <c r="B529" s="61">
        <v>4556</v>
      </c>
      <c r="C529" s="62" t="s">
        <v>2191</v>
      </c>
    </row>
    <row r="530" spans="1:3" x14ac:dyDescent="0.15">
      <c r="A530" s="51">
        <v>557</v>
      </c>
      <c r="B530" s="61">
        <v>4557</v>
      </c>
      <c r="C530" s="62" t="s">
        <v>2192</v>
      </c>
    </row>
    <row r="531" spans="1:3" x14ac:dyDescent="0.15">
      <c r="A531" s="51">
        <v>558</v>
      </c>
      <c r="B531" s="61">
        <v>4558</v>
      </c>
      <c r="C531" s="62" t="s">
        <v>2193</v>
      </c>
    </row>
    <row r="532" spans="1:3" x14ac:dyDescent="0.15">
      <c r="A532" s="51">
        <v>559</v>
      </c>
      <c r="B532" s="61">
        <v>4559</v>
      </c>
      <c r="C532" s="62" t="s">
        <v>2194</v>
      </c>
    </row>
    <row r="533" spans="1:3" x14ac:dyDescent="0.15">
      <c r="A533" s="51">
        <v>560</v>
      </c>
      <c r="B533" s="61">
        <v>4560</v>
      </c>
      <c r="C533" s="62" t="s">
        <v>2195</v>
      </c>
    </row>
    <row r="534" spans="1:3" x14ac:dyDescent="0.15">
      <c r="A534" s="51">
        <v>561</v>
      </c>
      <c r="B534" s="61">
        <v>4561</v>
      </c>
      <c r="C534" s="62" t="s">
        <v>2196</v>
      </c>
    </row>
    <row r="535" spans="1:3" x14ac:dyDescent="0.15">
      <c r="A535" s="51">
        <v>562</v>
      </c>
      <c r="B535" s="61">
        <v>4562</v>
      </c>
      <c r="C535" s="62" t="s">
        <v>2197</v>
      </c>
    </row>
    <row r="536" spans="1:3" x14ac:dyDescent="0.15">
      <c r="A536" s="51">
        <v>563</v>
      </c>
      <c r="B536" s="61">
        <v>4563</v>
      </c>
      <c r="C536" s="62" t="s">
        <v>2198</v>
      </c>
    </row>
    <row r="537" spans="1:3" x14ac:dyDescent="0.15">
      <c r="A537" s="51">
        <v>564</v>
      </c>
      <c r="B537" s="61">
        <v>4564</v>
      </c>
      <c r="C537" s="62" t="s">
        <v>2199</v>
      </c>
    </row>
    <row r="538" spans="1:3" x14ac:dyDescent="0.15">
      <c r="A538" s="51">
        <v>565</v>
      </c>
      <c r="B538" s="61">
        <v>4565</v>
      </c>
      <c r="C538" s="62" t="s">
        <v>2200</v>
      </c>
    </row>
    <row r="539" spans="1:3" x14ac:dyDescent="0.15">
      <c r="A539" s="51">
        <v>566</v>
      </c>
      <c r="B539" s="61">
        <v>4566</v>
      </c>
      <c r="C539" s="62" t="s">
        <v>2201</v>
      </c>
    </row>
    <row r="540" spans="1:3" x14ac:dyDescent="0.15">
      <c r="A540" s="51">
        <v>567</v>
      </c>
      <c r="B540" s="61">
        <v>4567</v>
      </c>
      <c r="C540" s="62" t="s">
        <v>2202</v>
      </c>
    </row>
    <row r="541" spans="1:3" x14ac:dyDescent="0.15">
      <c r="A541" s="51">
        <v>568</v>
      </c>
      <c r="B541" s="61">
        <v>4568</v>
      </c>
      <c r="C541" s="62" t="s">
        <v>2203</v>
      </c>
    </row>
    <row r="542" spans="1:3" x14ac:dyDescent="0.15">
      <c r="A542" s="51">
        <v>569</v>
      </c>
      <c r="B542" s="61">
        <v>4569</v>
      </c>
      <c r="C542" s="62" t="s">
        <v>2204</v>
      </c>
    </row>
    <row r="543" spans="1:3" x14ac:dyDescent="0.15">
      <c r="A543" s="51">
        <v>570</v>
      </c>
      <c r="B543" s="61">
        <v>4570</v>
      </c>
      <c r="C543" s="62" t="s">
        <v>2205</v>
      </c>
    </row>
    <row r="544" spans="1:3" x14ac:dyDescent="0.15">
      <c r="A544" s="51">
        <v>571</v>
      </c>
      <c r="B544" s="61">
        <v>4571</v>
      </c>
      <c r="C544" s="62" t="s">
        <v>2206</v>
      </c>
    </row>
    <row r="545" spans="1:3" x14ac:dyDescent="0.15">
      <c r="A545" s="51">
        <v>572</v>
      </c>
      <c r="B545" s="61">
        <v>4572</v>
      </c>
      <c r="C545" s="62" t="s">
        <v>2207</v>
      </c>
    </row>
    <row r="546" spans="1:3" x14ac:dyDescent="0.15">
      <c r="A546" s="51">
        <v>573</v>
      </c>
      <c r="B546" s="61">
        <v>4573</v>
      </c>
      <c r="C546" s="62" t="s">
        <v>2208</v>
      </c>
    </row>
    <row r="547" spans="1:3" x14ac:dyDescent="0.15">
      <c r="A547" s="51">
        <v>574</v>
      </c>
      <c r="B547" s="61">
        <v>4574</v>
      </c>
      <c r="C547" s="62" t="s">
        <v>2209</v>
      </c>
    </row>
    <row r="548" spans="1:3" x14ac:dyDescent="0.15">
      <c r="A548" s="51">
        <v>575</v>
      </c>
      <c r="B548" s="61">
        <v>4575</v>
      </c>
      <c r="C548" s="62" t="s">
        <v>2210</v>
      </c>
    </row>
    <row r="549" spans="1:3" x14ac:dyDescent="0.15">
      <c r="A549" s="51">
        <v>576</v>
      </c>
      <c r="B549" s="61">
        <v>4576</v>
      </c>
      <c r="C549" s="62" t="s">
        <v>2211</v>
      </c>
    </row>
    <row r="550" spans="1:3" x14ac:dyDescent="0.15">
      <c r="A550" s="51">
        <v>577</v>
      </c>
      <c r="B550" s="61">
        <v>4577</v>
      </c>
      <c r="C550" s="62" t="s">
        <v>2212</v>
      </c>
    </row>
    <row r="551" spans="1:3" x14ac:dyDescent="0.15">
      <c r="A551" s="51">
        <v>578</v>
      </c>
      <c r="B551" s="61">
        <v>4578</v>
      </c>
      <c r="C551" s="62" t="s">
        <v>2213</v>
      </c>
    </row>
    <row r="552" spans="1:3" x14ac:dyDescent="0.15">
      <c r="A552" s="51">
        <v>579</v>
      </c>
      <c r="B552" s="61">
        <v>4579</v>
      </c>
      <c r="C552" s="62" t="s">
        <v>2214</v>
      </c>
    </row>
    <row r="553" spans="1:3" x14ac:dyDescent="0.15">
      <c r="A553" s="51">
        <v>580</v>
      </c>
      <c r="B553" s="61">
        <v>4580</v>
      </c>
      <c r="C553" s="62" t="s">
        <v>2215</v>
      </c>
    </row>
    <row r="554" spans="1:3" x14ac:dyDescent="0.15">
      <c r="A554" s="51">
        <v>581</v>
      </c>
      <c r="B554" s="61">
        <v>4581</v>
      </c>
      <c r="C554" s="62" t="s">
        <v>2216</v>
      </c>
    </row>
    <row r="555" spans="1:3" x14ac:dyDescent="0.15">
      <c r="A555" s="51">
        <v>582</v>
      </c>
      <c r="B555" s="61">
        <v>4582</v>
      </c>
      <c r="C555" s="62" t="s">
        <v>2217</v>
      </c>
    </row>
    <row r="556" spans="1:3" x14ac:dyDescent="0.15">
      <c r="A556" s="51">
        <v>583</v>
      </c>
      <c r="B556" s="61">
        <v>4583</v>
      </c>
      <c r="C556" s="62" t="s">
        <v>2218</v>
      </c>
    </row>
    <row r="557" spans="1:3" x14ac:dyDescent="0.15">
      <c r="A557" s="51">
        <v>584</v>
      </c>
      <c r="B557" s="61">
        <v>4584</v>
      </c>
      <c r="C557" s="62" t="s">
        <v>2219</v>
      </c>
    </row>
    <row r="558" spans="1:3" x14ac:dyDescent="0.15">
      <c r="A558" s="51">
        <v>585</v>
      </c>
      <c r="B558" s="61">
        <v>4585</v>
      </c>
      <c r="C558" s="62" t="s">
        <v>2220</v>
      </c>
    </row>
    <row r="559" spans="1:3" x14ac:dyDescent="0.15">
      <c r="A559" s="51">
        <v>586</v>
      </c>
      <c r="B559" s="61">
        <v>4586</v>
      </c>
      <c r="C559" s="62" t="s">
        <v>2221</v>
      </c>
    </row>
    <row r="560" spans="1:3" x14ac:dyDescent="0.15">
      <c r="A560" s="51">
        <v>587</v>
      </c>
      <c r="B560" s="61">
        <v>4587</v>
      </c>
      <c r="C560" s="62" t="s">
        <v>2222</v>
      </c>
    </row>
    <row r="561" spans="1:3" x14ac:dyDescent="0.15">
      <c r="A561" s="51">
        <v>588</v>
      </c>
      <c r="B561" s="61">
        <v>4588</v>
      </c>
      <c r="C561" s="62" t="s">
        <v>2223</v>
      </c>
    </row>
    <row r="562" spans="1:3" x14ac:dyDescent="0.15">
      <c r="A562" s="51">
        <v>589</v>
      </c>
      <c r="B562" s="61">
        <v>4589</v>
      </c>
      <c r="C562" s="62" t="s">
        <v>2224</v>
      </c>
    </row>
    <row r="563" spans="1:3" x14ac:dyDescent="0.15">
      <c r="A563" s="51">
        <v>590</v>
      </c>
      <c r="B563" s="61">
        <v>4590</v>
      </c>
      <c r="C563" s="62" t="s">
        <v>2225</v>
      </c>
    </row>
    <row r="564" spans="1:3" x14ac:dyDescent="0.15">
      <c r="A564" s="51">
        <v>591</v>
      </c>
      <c r="B564" s="61">
        <v>4591</v>
      </c>
      <c r="C564" s="62" t="s">
        <v>2226</v>
      </c>
    </row>
    <row r="565" spans="1:3" x14ac:dyDescent="0.15">
      <c r="A565" s="51">
        <v>592</v>
      </c>
      <c r="B565" s="61">
        <v>4592</v>
      </c>
      <c r="C565" s="62" t="s">
        <v>2227</v>
      </c>
    </row>
    <row r="566" spans="1:3" x14ac:dyDescent="0.15">
      <c r="A566" s="51">
        <v>593</v>
      </c>
      <c r="B566" s="61">
        <v>4593</v>
      </c>
      <c r="C566" s="62" t="s">
        <v>2228</v>
      </c>
    </row>
    <row r="567" spans="1:3" x14ac:dyDescent="0.15">
      <c r="A567" s="51">
        <v>594</v>
      </c>
      <c r="B567" s="61">
        <v>4594</v>
      </c>
      <c r="C567" s="62" t="s">
        <v>2229</v>
      </c>
    </row>
    <row r="568" spans="1:3" x14ac:dyDescent="0.15">
      <c r="A568" s="51">
        <v>595</v>
      </c>
      <c r="B568" s="61">
        <v>4595</v>
      </c>
      <c r="C568" s="62" t="s">
        <v>2230</v>
      </c>
    </row>
    <row r="569" spans="1:3" x14ac:dyDescent="0.15">
      <c r="A569" s="51">
        <v>596</v>
      </c>
      <c r="B569" s="61">
        <v>4596</v>
      </c>
      <c r="C569" s="62" t="s">
        <v>2231</v>
      </c>
    </row>
    <row r="570" spans="1:3" x14ac:dyDescent="0.15">
      <c r="A570" s="51">
        <v>597</v>
      </c>
      <c r="B570" s="61">
        <v>4597</v>
      </c>
      <c r="C570" s="62" t="s">
        <v>2232</v>
      </c>
    </row>
    <row r="571" spans="1:3" x14ac:dyDescent="0.15">
      <c r="A571" s="51">
        <v>598</v>
      </c>
      <c r="B571" s="61">
        <v>4598</v>
      </c>
      <c r="C571" s="62" t="s">
        <v>2233</v>
      </c>
    </row>
    <row r="572" spans="1:3" x14ac:dyDescent="0.15">
      <c r="A572" s="51">
        <v>599</v>
      </c>
      <c r="B572" s="61">
        <v>4599</v>
      </c>
      <c r="C572" s="62" t="s">
        <v>2234</v>
      </c>
    </row>
    <row r="573" spans="1:3" x14ac:dyDescent="0.15">
      <c r="A573" s="51">
        <v>600</v>
      </c>
      <c r="B573" s="61">
        <v>4600</v>
      </c>
      <c r="C573" s="62" t="s">
        <v>2235</v>
      </c>
    </row>
    <row r="574" spans="1:3" x14ac:dyDescent="0.15">
      <c r="A574" s="51">
        <v>601</v>
      </c>
      <c r="B574" s="61">
        <v>1601</v>
      </c>
      <c r="C574" s="62" t="s">
        <v>2236</v>
      </c>
    </row>
    <row r="575" spans="1:3" x14ac:dyDescent="0.15">
      <c r="A575" s="51">
        <v>602</v>
      </c>
      <c r="B575" s="61">
        <v>1602</v>
      </c>
      <c r="C575" s="62" t="s">
        <v>2237</v>
      </c>
    </row>
    <row r="576" spans="1:3" x14ac:dyDescent="0.15">
      <c r="A576" s="51">
        <v>603</v>
      </c>
      <c r="B576" s="61">
        <v>1603</v>
      </c>
      <c r="C576" s="62" t="s">
        <v>2238</v>
      </c>
    </row>
    <row r="577" spans="1:3" x14ac:dyDescent="0.15">
      <c r="A577" s="51">
        <v>604</v>
      </c>
      <c r="B577" s="61">
        <v>7604</v>
      </c>
      <c r="C577" s="62" t="s">
        <v>2239</v>
      </c>
    </row>
    <row r="578" spans="1:3" x14ac:dyDescent="0.15">
      <c r="A578" s="51">
        <v>605</v>
      </c>
      <c r="B578" s="61">
        <v>7605</v>
      </c>
      <c r="C578" s="62" t="s">
        <v>2240</v>
      </c>
    </row>
    <row r="579" spans="1:3" x14ac:dyDescent="0.15">
      <c r="A579" s="51">
        <v>606</v>
      </c>
      <c r="B579" s="61">
        <v>7606</v>
      </c>
      <c r="C579" s="62" t="s">
        <v>2241</v>
      </c>
    </row>
    <row r="580" spans="1:3" x14ac:dyDescent="0.15">
      <c r="A580" s="51">
        <v>607</v>
      </c>
      <c r="B580" s="61">
        <v>7607</v>
      </c>
      <c r="C580" s="62" t="s">
        <v>2242</v>
      </c>
    </row>
    <row r="581" spans="1:3" x14ac:dyDescent="0.15">
      <c r="A581" s="51">
        <v>608</v>
      </c>
      <c r="B581" s="61">
        <v>7608</v>
      </c>
      <c r="C581" s="62" t="s">
        <v>2243</v>
      </c>
    </row>
    <row r="582" spans="1:3" x14ac:dyDescent="0.15">
      <c r="A582" s="51">
        <v>609</v>
      </c>
      <c r="B582" s="61">
        <v>7609</v>
      </c>
      <c r="C582" s="62" t="s">
        <v>2244</v>
      </c>
    </row>
    <row r="583" spans="1:3" x14ac:dyDescent="0.15">
      <c r="A583" s="51">
        <v>610</v>
      </c>
      <c r="B583" s="61">
        <v>7610</v>
      </c>
      <c r="C583" s="62" t="s">
        <v>2245</v>
      </c>
    </row>
    <row r="584" spans="1:3" x14ac:dyDescent="0.15">
      <c r="A584" s="51">
        <v>611</v>
      </c>
      <c r="B584" s="61">
        <v>7611</v>
      </c>
      <c r="C584" s="62" t="s">
        <v>2246</v>
      </c>
    </row>
    <row r="585" spans="1:3" x14ac:dyDescent="0.15">
      <c r="A585" s="51">
        <v>612</v>
      </c>
      <c r="B585" s="61">
        <v>7612</v>
      </c>
      <c r="C585" s="62" t="s">
        <v>2247</v>
      </c>
    </row>
    <row r="586" spans="1:3" x14ac:dyDescent="0.15">
      <c r="A586" s="51">
        <v>613</v>
      </c>
      <c r="B586" s="61">
        <v>7613</v>
      </c>
      <c r="C586" s="62" t="s">
        <v>2248</v>
      </c>
    </row>
    <row r="587" spans="1:3" x14ac:dyDescent="0.15">
      <c r="A587" s="51">
        <v>614</v>
      </c>
      <c r="B587" s="61">
        <v>7614</v>
      </c>
      <c r="C587" s="62" t="s">
        <v>2249</v>
      </c>
    </row>
    <row r="588" spans="1:3" x14ac:dyDescent="0.15">
      <c r="A588" s="51">
        <v>615</v>
      </c>
      <c r="B588" s="61">
        <v>7615</v>
      </c>
      <c r="C588" s="62" t="s">
        <v>2250</v>
      </c>
    </row>
    <row r="589" spans="1:3" x14ac:dyDescent="0.15">
      <c r="A589" s="51">
        <v>616</v>
      </c>
      <c r="B589" s="61">
        <v>7616</v>
      </c>
      <c r="C589" s="62" t="s">
        <v>2251</v>
      </c>
    </row>
    <row r="590" spans="1:3" x14ac:dyDescent="0.15">
      <c r="A590" s="51">
        <v>617</v>
      </c>
      <c r="B590" s="61">
        <v>7617</v>
      </c>
      <c r="C590" s="62" t="s">
        <v>2252</v>
      </c>
    </row>
    <row r="591" spans="1:3" x14ac:dyDescent="0.15">
      <c r="A591" s="51">
        <v>618</v>
      </c>
      <c r="B591" s="61">
        <v>7618</v>
      </c>
      <c r="C591" s="62" t="s">
        <v>2253</v>
      </c>
    </row>
    <row r="592" spans="1:3" x14ac:dyDescent="0.15">
      <c r="A592" s="51">
        <v>619</v>
      </c>
      <c r="B592" s="61">
        <v>7619</v>
      </c>
      <c r="C592" s="62" t="s">
        <v>2254</v>
      </c>
    </row>
    <row r="593" spans="1:3" x14ac:dyDescent="0.15">
      <c r="A593" s="51">
        <v>620</v>
      </c>
      <c r="B593" s="61">
        <v>7620</v>
      </c>
      <c r="C593" s="62" t="s">
        <v>2255</v>
      </c>
    </row>
    <row r="594" spans="1:3" x14ac:dyDescent="0.15">
      <c r="A594" s="51">
        <v>621</v>
      </c>
      <c r="B594" s="61">
        <v>7621</v>
      </c>
      <c r="C594" s="62" t="s">
        <v>2256</v>
      </c>
    </row>
    <row r="595" spans="1:3" x14ac:dyDescent="0.15">
      <c r="A595" s="51">
        <v>622</v>
      </c>
      <c r="B595" s="61">
        <v>7622</v>
      </c>
      <c r="C595" s="62" t="s">
        <v>2257</v>
      </c>
    </row>
    <row r="596" spans="1:3" x14ac:dyDescent="0.15">
      <c r="A596" s="51">
        <v>623</v>
      </c>
      <c r="B596" s="61">
        <v>7623</v>
      </c>
      <c r="C596" s="62" t="s">
        <v>2258</v>
      </c>
    </row>
    <row r="597" spans="1:3" x14ac:dyDescent="0.15">
      <c r="A597" s="51">
        <v>624</v>
      </c>
      <c r="B597" s="61">
        <v>7624</v>
      </c>
      <c r="C597" s="62" t="s">
        <v>2259</v>
      </c>
    </row>
    <row r="598" spans="1:3" x14ac:dyDescent="0.15">
      <c r="A598" s="51">
        <v>625</v>
      </c>
      <c r="B598" s="61">
        <v>7625</v>
      </c>
      <c r="C598" s="62" t="s">
        <v>2260</v>
      </c>
    </row>
    <row r="599" spans="1:3" x14ac:dyDescent="0.15">
      <c r="A599" s="51">
        <v>626</v>
      </c>
      <c r="B599" s="61">
        <v>7626</v>
      </c>
      <c r="C599" s="62" t="s">
        <v>2261</v>
      </c>
    </row>
    <row r="600" spans="1:3" x14ac:dyDescent="0.15">
      <c r="A600" s="51">
        <v>627</v>
      </c>
      <c r="B600" s="61">
        <v>7627</v>
      </c>
      <c r="C600" s="62" t="s">
        <v>2262</v>
      </c>
    </row>
    <row r="601" spans="1:3" x14ac:dyDescent="0.15">
      <c r="A601" s="51">
        <v>628</v>
      </c>
      <c r="B601" s="61">
        <v>7628</v>
      </c>
      <c r="C601" s="62" t="s">
        <v>2263</v>
      </c>
    </row>
    <row r="602" spans="1:3" x14ac:dyDescent="0.15">
      <c r="A602" s="51">
        <v>629</v>
      </c>
      <c r="B602" s="61">
        <v>7629</v>
      </c>
      <c r="C602" s="62" t="s">
        <v>2264</v>
      </c>
    </row>
    <row r="603" spans="1:3" x14ac:dyDescent="0.15">
      <c r="A603" s="51">
        <v>630</v>
      </c>
      <c r="B603" s="61">
        <v>7630</v>
      </c>
      <c r="C603" s="62" t="s">
        <v>2265</v>
      </c>
    </row>
    <row r="604" spans="1:3" x14ac:dyDescent="0.15">
      <c r="A604" s="51">
        <v>631</v>
      </c>
      <c r="B604" s="61">
        <v>7631</v>
      </c>
      <c r="C604" s="62" t="s">
        <v>2266</v>
      </c>
    </row>
    <row r="605" spans="1:3" x14ac:dyDescent="0.15">
      <c r="A605" s="51">
        <v>632</v>
      </c>
      <c r="B605" s="61">
        <v>7632</v>
      </c>
      <c r="C605" s="62" t="s">
        <v>2267</v>
      </c>
    </row>
    <row r="606" spans="1:3" x14ac:dyDescent="0.15">
      <c r="A606" s="51">
        <v>633</v>
      </c>
      <c r="B606" s="61">
        <v>7633</v>
      </c>
      <c r="C606" s="62" t="s">
        <v>2268</v>
      </c>
    </row>
    <row r="607" spans="1:3" x14ac:dyDescent="0.15">
      <c r="A607" s="51">
        <v>634</v>
      </c>
      <c r="B607" s="61">
        <v>7634</v>
      </c>
      <c r="C607" s="62" t="s">
        <v>2269</v>
      </c>
    </row>
    <row r="608" spans="1:3" x14ac:dyDescent="0.15">
      <c r="A608" s="51">
        <v>635</v>
      </c>
      <c r="B608" s="61">
        <v>7635</v>
      </c>
      <c r="C608" s="62" t="s">
        <v>2270</v>
      </c>
    </row>
    <row r="609" spans="1:3" x14ac:dyDescent="0.15">
      <c r="A609" s="51">
        <v>636</v>
      </c>
      <c r="B609" s="61">
        <v>7636</v>
      </c>
      <c r="C609" s="62" t="s">
        <v>2271</v>
      </c>
    </row>
    <row r="610" spans="1:3" x14ac:dyDescent="0.15">
      <c r="A610" s="51">
        <v>637</v>
      </c>
      <c r="B610" s="61">
        <v>7637</v>
      </c>
      <c r="C610" s="62" t="s">
        <v>2272</v>
      </c>
    </row>
    <row r="611" spans="1:3" x14ac:dyDescent="0.15">
      <c r="A611" s="51">
        <v>638</v>
      </c>
      <c r="B611" s="61">
        <v>7638</v>
      </c>
      <c r="C611" s="62" t="s">
        <v>2273</v>
      </c>
    </row>
    <row r="612" spans="1:3" x14ac:dyDescent="0.15">
      <c r="A612" s="51">
        <v>639</v>
      </c>
      <c r="B612" s="61">
        <v>7639</v>
      </c>
      <c r="C612" s="62" t="s">
        <v>2274</v>
      </c>
    </row>
    <row r="613" spans="1:3" x14ac:dyDescent="0.15">
      <c r="A613" s="51">
        <v>640</v>
      </c>
      <c r="B613" s="61">
        <v>7640</v>
      </c>
      <c r="C613" s="62" t="s">
        <v>2275</v>
      </c>
    </row>
    <row r="614" spans="1:3" x14ac:dyDescent="0.15">
      <c r="A614" s="51">
        <v>641</v>
      </c>
      <c r="B614" s="61">
        <v>7641</v>
      </c>
      <c r="C614" s="62" t="s">
        <v>2276</v>
      </c>
    </row>
    <row r="615" spans="1:3" x14ac:dyDescent="0.15">
      <c r="A615" s="51">
        <v>642</v>
      </c>
      <c r="B615" s="61">
        <v>7642</v>
      </c>
      <c r="C615" s="62" t="s">
        <v>2277</v>
      </c>
    </row>
    <row r="616" spans="1:3" x14ac:dyDescent="0.15">
      <c r="A616" s="51">
        <v>643</v>
      </c>
      <c r="B616" s="61">
        <v>7643</v>
      </c>
      <c r="C616" s="62" t="s">
        <v>2278</v>
      </c>
    </row>
    <row r="617" spans="1:3" x14ac:dyDescent="0.15">
      <c r="A617" s="51">
        <v>644</v>
      </c>
      <c r="B617" s="61">
        <v>4644</v>
      </c>
      <c r="C617" s="62" t="s">
        <v>2279</v>
      </c>
    </row>
    <row r="618" spans="1:3" x14ac:dyDescent="0.15">
      <c r="A618" s="51">
        <v>645</v>
      </c>
      <c r="B618" s="61">
        <v>4645</v>
      </c>
      <c r="C618" s="62" t="s">
        <v>2280</v>
      </c>
    </row>
    <row r="619" spans="1:3" x14ac:dyDescent="0.15">
      <c r="A619" s="51">
        <v>646</v>
      </c>
      <c r="B619" s="61">
        <v>4646</v>
      </c>
      <c r="C619" s="62" t="s">
        <v>2281</v>
      </c>
    </row>
    <row r="620" spans="1:3" x14ac:dyDescent="0.15">
      <c r="A620" s="51">
        <v>647</v>
      </c>
      <c r="B620" s="61">
        <v>4647</v>
      </c>
      <c r="C620" s="62" t="s">
        <v>2282</v>
      </c>
    </row>
    <row r="621" spans="1:3" x14ac:dyDescent="0.15">
      <c r="A621" s="51">
        <v>648</v>
      </c>
      <c r="B621" s="61">
        <v>4648</v>
      </c>
      <c r="C621" s="62" t="s">
        <v>2283</v>
      </c>
    </row>
    <row r="622" spans="1:3" x14ac:dyDescent="0.15">
      <c r="A622" s="51">
        <v>649</v>
      </c>
      <c r="B622" s="61">
        <v>4649</v>
      </c>
      <c r="C622" s="62" t="s">
        <v>2284</v>
      </c>
    </row>
    <row r="623" spans="1:3" x14ac:dyDescent="0.15">
      <c r="A623" s="51">
        <v>650</v>
      </c>
      <c r="B623" s="61">
        <v>4650</v>
      </c>
      <c r="C623" s="62" t="s">
        <v>2285</v>
      </c>
    </row>
    <row r="624" spans="1:3" x14ac:dyDescent="0.15">
      <c r="A624" s="51">
        <v>651</v>
      </c>
      <c r="B624" s="61">
        <v>4651</v>
      </c>
      <c r="C624" s="62" t="s">
        <v>2286</v>
      </c>
    </row>
    <row r="625" spans="1:3" x14ac:dyDescent="0.15">
      <c r="A625" s="51">
        <v>652</v>
      </c>
      <c r="B625" s="61">
        <v>4652</v>
      </c>
      <c r="C625" s="62" t="s">
        <v>2287</v>
      </c>
    </row>
    <row r="626" spans="1:3" x14ac:dyDescent="0.15">
      <c r="A626" s="51">
        <v>653</v>
      </c>
      <c r="B626" s="61">
        <v>4653</v>
      </c>
      <c r="C626" s="62" t="s">
        <v>2288</v>
      </c>
    </row>
    <row r="627" spans="1:3" x14ac:dyDescent="0.15">
      <c r="A627" s="51">
        <v>654</v>
      </c>
      <c r="B627" s="61">
        <v>7654</v>
      </c>
      <c r="C627" s="62" t="s">
        <v>2289</v>
      </c>
    </row>
    <row r="628" spans="1:3" x14ac:dyDescent="0.15">
      <c r="A628" s="51">
        <v>655</v>
      </c>
      <c r="B628" s="61">
        <v>7655</v>
      </c>
      <c r="C628" s="62" t="s">
        <v>2290</v>
      </c>
    </row>
    <row r="629" spans="1:3" x14ac:dyDescent="0.15">
      <c r="A629" s="51">
        <v>656</v>
      </c>
      <c r="B629" s="61">
        <v>7656</v>
      </c>
      <c r="C629" s="62" t="s">
        <v>2291</v>
      </c>
    </row>
    <row r="630" spans="1:3" x14ac:dyDescent="0.15">
      <c r="A630" s="51">
        <v>657</v>
      </c>
      <c r="B630" s="61">
        <v>7657</v>
      </c>
      <c r="C630" s="62" t="s">
        <v>2292</v>
      </c>
    </row>
    <row r="631" spans="1:3" x14ac:dyDescent="0.15">
      <c r="A631" s="51">
        <v>658</v>
      </c>
      <c r="B631" s="61">
        <v>7658</v>
      </c>
      <c r="C631" s="62" t="s">
        <v>2293</v>
      </c>
    </row>
    <row r="632" spans="1:3" x14ac:dyDescent="0.15">
      <c r="A632" s="51">
        <v>659</v>
      </c>
      <c r="B632" s="61">
        <v>7659</v>
      </c>
      <c r="C632" s="62" t="s">
        <v>2294</v>
      </c>
    </row>
    <row r="633" spans="1:3" x14ac:dyDescent="0.15">
      <c r="A633" s="51">
        <v>660</v>
      </c>
      <c r="B633" s="61">
        <v>7660</v>
      </c>
      <c r="C633" s="62" t="s">
        <v>2295</v>
      </c>
    </row>
    <row r="634" spans="1:3" x14ac:dyDescent="0.15">
      <c r="A634" s="51">
        <v>661</v>
      </c>
      <c r="B634" s="61">
        <v>7661</v>
      </c>
      <c r="C634" s="62" t="s">
        <v>2296</v>
      </c>
    </row>
    <row r="635" spans="1:3" x14ac:dyDescent="0.15">
      <c r="A635" s="51">
        <v>662</v>
      </c>
      <c r="B635" s="61">
        <v>7662</v>
      </c>
      <c r="C635" s="62" t="s">
        <v>2297</v>
      </c>
    </row>
    <row r="636" spans="1:3" x14ac:dyDescent="0.15">
      <c r="A636" s="51">
        <v>663</v>
      </c>
      <c r="B636" s="61">
        <v>7663</v>
      </c>
      <c r="C636" s="62" t="s">
        <v>2298</v>
      </c>
    </row>
    <row r="637" spans="1:3" x14ac:dyDescent="0.15">
      <c r="A637" s="51">
        <v>664</v>
      </c>
      <c r="B637" s="61">
        <v>1664</v>
      </c>
      <c r="C637" s="62" t="s">
        <v>2299</v>
      </c>
    </row>
    <row r="638" spans="1:3" x14ac:dyDescent="0.15">
      <c r="A638" s="51">
        <v>665</v>
      </c>
      <c r="B638" s="61">
        <v>1665</v>
      </c>
      <c r="C638" s="62" t="s">
        <v>2300</v>
      </c>
    </row>
    <row r="639" spans="1:3" x14ac:dyDescent="0.15">
      <c r="A639" s="51">
        <v>666</v>
      </c>
      <c r="B639" s="61">
        <v>1666</v>
      </c>
      <c r="C639" s="62" t="s">
        <v>2301</v>
      </c>
    </row>
    <row r="640" spans="1:3" x14ac:dyDescent="0.15">
      <c r="A640" s="51">
        <v>667</v>
      </c>
      <c r="B640" s="61">
        <v>1667</v>
      </c>
      <c r="C640" s="62" t="s">
        <v>2302</v>
      </c>
    </row>
    <row r="641" spans="1:3" x14ac:dyDescent="0.15">
      <c r="A641" s="51">
        <v>668</v>
      </c>
      <c r="B641" s="61">
        <v>6668</v>
      </c>
      <c r="C641" s="62" t="s">
        <v>2303</v>
      </c>
    </row>
    <row r="642" spans="1:3" x14ac:dyDescent="0.15">
      <c r="A642" s="51">
        <v>669</v>
      </c>
      <c r="B642" s="61">
        <v>7669</v>
      </c>
      <c r="C642" s="62" t="s">
        <v>2304</v>
      </c>
    </row>
    <row r="643" spans="1:3" x14ac:dyDescent="0.15">
      <c r="A643" s="51">
        <v>670</v>
      </c>
      <c r="B643" s="61">
        <v>1670</v>
      </c>
      <c r="C643" s="62" t="s">
        <v>2305</v>
      </c>
    </row>
    <row r="644" spans="1:3" x14ac:dyDescent="0.15">
      <c r="A644" s="51">
        <v>671</v>
      </c>
      <c r="B644" s="61">
        <v>1671</v>
      </c>
      <c r="C644" s="62" t="s">
        <v>2306</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C261C-FC8E-49D4-A89F-29AB9516B57A}">
  <sheetPr codeName="Sheet14">
    <tabColor theme="5" tint="0.39997558519241921"/>
  </sheetPr>
  <dimension ref="A1:B47"/>
  <sheetViews>
    <sheetView zoomScale="150" zoomScaleNormal="150" workbookViewId="0">
      <pane ySplit="1" topLeftCell="A2" activePane="bottomLeft" state="frozen"/>
      <selection activeCell="B19" sqref="B19"/>
      <selection pane="bottomLeft" activeCell="B8" sqref="B8"/>
    </sheetView>
  </sheetViews>
  <sheetFormatPr baseColWidth="10" defaultColWidth="8.83203125" defaultRowHeight="15" x14ac:dyDescent="0.2"/>
  <cols>
    <col min="1" max="1" width="31.33203125" style="18" bestFit="1" customWidth="1"/>
    <col min="2" max="2" width="103.6640625" customWidth="1"/>
  </cols>
  <sheetData>
    <row r="1" spans="1:2" ht="19" thickBot="1" x14ac:dyDescent="0.25">
      <c r="A1" s="17" t="s">
        <v>397</v>
      </c>
      <c r="B1" s="28" t="s">
        <v>220</v>
      </c>
    </row>
    <row r="2" spans="1:2" x14ac:dyDescent="0.2">
      <c r="A2" s="24" t="s">
        <v>398</v>
      </c>
      <c r="B2" s="20" t="s">
        <v>399</v>
      </c>
    </row>
    <row r="3" spans="1:2" ht="25" x14ac:dyDescent="0.2">
      <c r="A3" s="25" t="s">
        <v>400</v>
      </c>
      <c r="B3" s="21" t="s">
        <v>401</v>
      </c>
    </row>
    <row r="4" spans="1:2" x14ac:dyDescent="0.2">
      <c r="A4" s="25" t="s">
        <v>402</v>
      </c>
      <c r="B4" s="21" t="s">
        <v>1824</v>
      </c>
    </row>
    <row r="5" spans="1:2" ht="25" x14ac:dyDescent="0.2">
      <c r="A5" s="25" t="s">
        <v>403</v>
      </c>
      <c r="B5" s="21" t="s">
        <v>1825</v>
      </c>
    </row>
    <row r="6" spans="1:2" ht="25" x14ac:dyDescent="0.2">
      <c r="A6" s="25" t="s">
        <v>404</v>
      </c>
      <c r="B6" s="21" t="s">
        <v>1826</v>
      </c>
    </row>
    <row r="7" spans="1:2" ht="25" x14ac:dyDescent="0.2">
      <c r="A7" s="25" t="s">
        <v>405</v>
      </c>
      <c r="B7" s="21" t="s">
        <v>1827</v>
      </c>
    </row>
    <row r="8" spans="1:2" ht="37" x14ac:dyDescent="0.2">
      <c r="A8" s="25" t="s">
        <v>406</v>
      </c>
      <c r="B8" s="21" t="s">
        <v>407</v>
      </c>
    </row>
    <row r="9" spans="1:2" ht="25" x14ac:dyDescent="0.2">
      <c r="A9" s="25" t="s">
        <v>408</v>
      </c>
      <c r="B9" s="21" t="s">
        <v>1828</v>
      </c>
    </row>
    <row r="10" spans="1:2" ht="25" x14ac:dyDescent="0.2">
      <c r="A10" s="25" t="s">
        <v>409</v>
      </c>
      <c r="B10" s="22" t="s">
        <v>410</v>
      </c>
    </row>
    <row r="11" spans="1:2" x14ac:dyDescent="0.2">
      <c r="A11" s="25" t="s">
        <v>411</v>
      </c>
      <c r="B11" s="21" t="s">
        <v>412</v>
      </c>
    </row>
    <row r="12" spans="1:2" ht="25" x14ac:dyDescent="0.2">
      <c r="A12" s="25" t="s">
        <v>413</v>
      </c>
      <c r="B12" s="21" t="s">
        <v>414</v>
      </c>
    </row>
    <row r="13" spans="1:2" ht="25" x14ac:dyDescent="0.2">
      <c r="A13" s="25" t="s">
        <v>415</v>
      </c>
      <c r="B13" s="22" t="s">
        <v>1829</v>
      </c>
    </row>
    <row r="14" spans="1:2" x14ac:dyDescent="0.2">
      <c r="A14" s="25" t="s">
        <v>416</v>
      </c>
      <c r="B14" s="21" t="s">
        <v>417</v>
      </c>
    </row>
    <row r="15" spans="1:2" ht="25" x14ac:dyDescent="0.2">
      <c r="A15" s="25" t="s">
        <v>418</v>
      </c>
      <c r="B15" s="21" t="s">
        <v>419</v>
      </c>
    </row>
    <row r="16" spans="1:2" ht="25" x14ac:dyDescent="0.2">
      <c r="A16" s="25" t="s">
        <v>420</v>
      </c>
      <c r="B16" s="21" t="s">
        <v>421</v>
      </c>
    </row>
    <row r="17" spans="1:2" ht="25" x14ac:dyDescent="0.2">
      <c r="A17" s="25" t="s">
        <v>422</v>
      </c>
      <c r="B17" s="21" t="s">
        <v>423</v>
      </c>
    </row>
    <row r="18" spans="1:2" ht="25" x14ac:dyDescent="0.2">
      <c r="A18" s="25" t="s">
        <v>424</v>
      </c>
      <c r="B18" s="21" t="s">
        <v>425</v>
      </c>
    </row>
    <row r="19" spans="1:2" ht="25" x14ac:dyDescent="0.2">
      <c r="A19" s="25" t="s">
        <v>426</v>
      </c>
      <c r="B19" s="21" t="s">
        <v>427</v>
      </c>
    </row>
    <row r="20" spans="1:2" ht="25" x14ac:dyDescent="0.2">
      <c r="A20" s="25" t="s">
        <v>428</v>
      </c>
      <c r="B20" s="21" t="s">
        <v>429</v>
      </c>
    </row>
    <row r="21" spans="1:2" ht="25" x14ac:dyDescent="0.2">
      <c r="A21" s="25" t="s">
        <v>430</v>
      </c>
      <c r="B21" s="21" t="s">
        <v>1830</v>
      </c>
    </row>
    <row r="22" spans="1:2" ht="25" x14ac:dyDescent="0.2">
      <c r="A22" s="25" t="s">
        <v>431</v>
      </c>
      <c r="B22" s="21" t="s">
        <v>432</v>
      </c>
    </row>
    <row r="23" spans="1:2" ht="25" x14ac:dyDescent="0.2">
      <c r="A23" s="25" t="s">
        <v>433</v>
      </c>
      <c r="B23" s="21" t="s">
        <v>1831</v>
      </c>
    </row>
    <row r="24" spans="1:2" ht="25" x14ac:dyDescent="0.2">
      <c r="A24" s="25" t="s">
        <v>434</v>
      </c>
      <c r="B24" s="21" t="s">
        <v>435</v>
      </c>
    </row>
    <row r="25" spans="1:2" ht="25" x14ac:dyDescent="0.2">
      <c r="A25" s="25" t="s">
        <v>436</v>
      </c>
      <c r="B25" s="21" t="s">
        <v>437</v>
      </c>
    </row>
    <row r="26" spans="1:2" ht="37" x14ac:dyDescent="0.2">
      <c r="A26" s="25" t="s">
        <v>438</v>
      </c>
      <c r="B26" s="21" t="s">
        <v>1832</v>
      </c>
    </row>
    <row r="27" spans="1:2" ht="25" x14ac:dyDescent="0.2">
      <c r="A27" s="25" t="s">
        <v>439</v>
      </c>
      <c r="B27" s="21" t="s">
        <v>1833</v>
      </c>
    </row>
    <row r="28" spans="1:2" ht="25" x14ac:dyDescent="0.2">
      <c r="A28" s="25" t="s">
        <v>440</v>
      </c>
      <c r="B28" s="21" t="s">
        <v>441</v>
      </c>
    </row>
    <row r="29" spans="1:2" ht="25" x14ac:dyDescent="0.2">
      <c r="A29" s="25" t="s">
        <v>442</v>
      </c>
      <c r="B29" s="21" t="s">
        <v>443</v>
      </c>
    </row>
    <row r="30" spans="1:2" ht="25" x14ac:dyDescent="0.2">
      <c r="A30" s="25" t="s">
        <v>444</v>
      </c>
      <c r="B30" s="21" t="s">
        <v>445</v>
      </c>
    </row>
    <row r="31" spans="1:2" ht="25" x14ac:dyDescent="0.2">
      <c r="A31" s="25" t="s">
        <v>446</v>
      </c>
      <c r="B31" s="21" t="s">
        <v>447</v>
      </c>
    </row>
    <row r="32" spans="1:2" ht="25" x14ac:dyDescent="0.2">
      <c r="A32" s="25" t="s">
        <v>448</v>
      </c>
      <c r="B32" s="21" t="s">
        <v>449</v>
      </c>
    </row>
    <row r="33" spans="1:2" ht="25" x14ac:dyDescent="0.2">
      <c r="A33" s="25" t="s">
        <v>450</v>
      </c>
      <c r="B33" s="21" t="s">
        <v>451</v>
      </c>
    </row>
    <row r="34" spans="1:2" x14ac:dyDescent="0.2">
      <c r="A34" s="25" t="s">
        <v>452</v>
      </c>
      <c r="B34" s="21" t="s">
        <v>1834</v>
      </c>
    </row>
    <row r="35" spans="1:2" ht="25" x14ac:dyDescent="0.2">
      <c r="A35" s="25" t="s">
        <v>453</v>
      </c>
      <c r="B35" s="21" t="s">
        <v>1835</v>
      </c>
    </row>
    <row r="36" spans="1:2" ht="25" x14ac:dyDescent="0.2">
      <c r="A36" s="25" t="s">
        <v>454</v>
      </c>
      <c r="B36" s="21" t="s">
        <v>1836</v>
      </c>
    </row>
    <row r="37" spans="1:2" x14ac:dyDescent="0.2">
      <c r="A37" s="25" t="s">
        <v>455</v>
      </c>
      <c r="B37" s="21" t="s">
        <v>456</v>
      </c>
    </row>
    <row r="38" spans="1:2" ht="25" x14ac:dyDescent="0.2">
      <c r="A38" s="25" t="s">
        <v>457</v>
      </c>
      <c r="B38" s="21" t="s">
        <v>1837</v>
      </c>
    </row>
    <row r="39" spans="1:2" ht="25" x14ac:dyDescent="0.2">
      <c r="A39" s="25" t="s">
        <v>458</v>
      </c>
      <c r="B39" s="21" t="s">
        <v>1838</v>
      </c>
    </row>
    <row r="40" spans="1:2" ht="37" x14ac:dyDescent="0.2">
      <c r="A40" s="25" t="s">
        <v>459</v>
      </c>
      <c r="B40" s="21" t="s">
        <v>1839</v>
      </c>
    </row>
    <row r="41" spans="1:2" ht="25" x14ac:dyDescent="0.2">
      <c r="A41" s="25" t="s">
        <v>460</v>
      </c>
      <c r="B41" s="21" t="s">
        <v>1840</v>
      </c>
    </row>
    <row r="42" spans="1:2" ht="25" x14ac:dyDescent="0.2">
      <c r="A42" s="25" t="s">
        <v>461</v>
      </c>
      <c r="B42" s="21" t="s">
        <v>1841</v>
      </c>
    </row>
    <row r="43" spans="1:2" ht="25" x14ac:dyDescent="0.2">
      <c r="A43" s="25" t="s">
        <v>462</v>
      </c>
      <c r="B43" s="21" t="s">
        <v>463</v>
      </c>
    </row>
    <row r="44" spans="1:2" ht="25" x14ac:dyDescent="0.2">
      <c r="A44" s="25" t="s">
        <v>431</v>
      </c>
      <c r="B44" s="21" t="s">
        <v>464</v>
      </c>
    </row>
    <row r="45" spans="1:2" ht="25" x14ac:dyDescent="0.2">
      <c r="A45" s="25" t="s">
        <v>465</v>
      </c>
      <c r="B45" s="21" t="s">
        <v>466</v>
      </c>
    </row>
    <row r="46" spans="1:2" ht="25" x14ac:dyDescent="0.2">
      <c r="A46" s="25" t="s">
        <v>467</v>
      </c>
      <c r="B46" s="21" t="s">
        <v>468</v>
      </c>
    </row>
    <row r="47" spans="1:2" ht="26" thickBot="1" x14ac:dyDescent="0.25">
      <c r="A47" s="26" t="s">
        <v>469</v>
      </c>
      <c r="B47" s="23" t="s">
        <v>470</v>
      </c>
    </row>
  </sheetData>
  <hyperlinks>
    <hyperlink ref="B1" location="'DW01 Field Decsriptions'!A1" display="'DW01 Field Decsriptions'!A1" xr:uid="{55FA5223-DB38-44C2-BF0E-A4C6CB106A5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B277-2403-40FE-BFBE-54A3C222AA16}">
  <sheetPr codeName="Sheet15">
    <tabColor theme="5" tint="0.39997558519241921"/>
  </sheetPr>
  <dimension ref="A1:B4"/>
  <sheetViews>
    <sheetView zoomScale="160" zoomScaleNormal="160" workbookViewId="0">
      <pane ySplit="1" topLeftCell="A2" activePane="bottomLeft" state="frozen"/>
      <selection activeCell="B19" sqref="B19"/>
      <selection pane="bottomLeft" activeCell="A2" sqref="A2"/>
    </sheetView>
  </sheetViews>
  <sheetFormatPr baseColWidth="10" defaultColWidth="8.83203125" defaultRowHeight="15" x14ac:dyDescent="0.2"/>
  <cols>
    <col min="1" max="1" width="16.83203125" bestFit="1" customWidth="1"/>
    <col min="2" max="2" width="103.6640625" customWidth="1"/>
  </cols>
  <sheetData>
    <row r="1" spans="1:2" ht="19" thickBot="1" x14ac:dyDescent="0.25">
      <c r="A1" s="19" t="s">
        <v>166</v>
      </c>
      <c r="B1" s="27" t="s">
        <v>220</v>
      </c>
    </row>
    <row r="2" spans="1:2" ht="25" x14ac:dyDescent="0.2">
      <c r="A2" s="24" t="s">
        <v>471</v>
      </c>
      <c r="B2" s="20" t="s">
        <v>472</v>
      </c>
    </row>
    <row r="3" spans="1:2" x14ac:dyDescent="0.2">
      <c r="A3" s="25" t="s">
        <v>473</v>
      </c>
      <c r="B3" s="21" t="s">
        <v>474</v>
      </c>
    </row>
    <row r="4" spans="1:2" ht="16" thickBot="1" x14ac:dyDescent="0.25">
      <c r="A4" s="26" t="s">
        <v>475</v>
      </c>
      <c r="B4" s="23" t="s">
        <v>476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2841E-4E9E-42A1-A9BD-315DA48503B3}">
  <sheetPr codeName="Sheet16">
    <tabColor theme="5" tint="0.39997558519241921"/>
  </sheetPr>
  <dimension ref="A1:E69"/>
  <sheetViews>
    <sheetView zoomScale="160" zoomScaleNormal="160" workbookViewId="0">
      <pane ySplit="1" topLeftCell="A2" activePane="bottomLeft" state="frozen"/>
      <selection activeCell="B19" sqref="B19"/>
      <selection pane="bottomLeft"/>
    </sheetView>
  </sheetViews>
  <sheetFormatPr baseColWidth="10" defaultColWidth="10.33203125" defaultRowHeight="11" x14ac:dyDescent="0.15"/>
  <cols>
    <col min="1" max="1" width="8.33203125" style="41" bestFit="1" customWidth="1"/>
    <col min="2" max="2" width="40.1640625" style="40" bestFit="1" customWidth="1"/>
    <col min="3" max="3" width="7.83203125" style="40" customWidth="1"/>
    <col min="4" max="16384" width="10.33203125" style="40"/>
  </cols>
  <sheetData>
    <row r="1" spans="1:5" s="39" customFormat="1" ht="19" thickBot="1" x14ac:dyDescent="0.25">
      <c r="A1" s="14" t="s">
        <v>1155</v>
      </c>
      <c r="B1" s="15" t="s">
        <v>220</v>
      </c>
      <c r="C1" s="46"/>
    </row>
    <row r="2" spans="1:5" x14ac:dyDescent="0.15">
      <c r="A2" s="48" t="s">
        <v>1156</v>
      </c>
      <c r="B2" s="44" t="s">
        <v>1157</v>
      </c>
      <c r="C2" s="47"/>
    </row>
    <row r="3" spans="1:5" x14ac:dyDescent="0.15">
      <c r="A3" s="38" t="s">
        <v>1158</v>
      </c>
      <c r="B3" s="38" t="s">
        <v>1159</v>
      </c>
    </row>
    <row r="4" spans="1:5" x14ac:dyDescent="0.15">
      <c r="A4" s="38" t="s">
        <v>1160</v>
      </c>
      <c r="B4" s="42" t="s">
        <v>1161</v>
      </c>
    </row>
    <row r="5" spans="1:5" x14ac:dyDescent="0.15">
      <c r="A5" s="38" t="s">
        <v>1270</v>
      </c>
      <c r="B5" s="42" t="s">
        <v>1271</v>
      </c>
    </row>
    <row r="6" spans="1:5" x14ac:dyDescent="0.15">
      <c r="A6" s="38" t="s">
        <v>1162</v>
      </c>
      <c r="B6" s="42" t="s">
        <v>1272</v>
      </c>
    </row>
    <row r="7" spans="1:5" x14ac:dyDescent="0.15">
      <c r="A7" s="38" t="s">
        <v>1163</v>
      </c>
      <c r="B7" s="42" t="s">
        <v>1273</v>
      </c>
    </row>
    <row r="8" spans="1:5" ht="15" x14ac:dyDescent="0.2">
      <c r="A8" s="38" t="s">
        <v>1164</v>
      </c>
      <c r="B8" s="42" t="s">
        <v>1274</v>
      </c>
      <c r="E8"/>
    </row>
    <row r="9" spans="1:5" x14ac:dyDescent="0.15">
      <c r="A9" s="38" t="s">
        <v>1165</v>
      </c>
      <c r="B9" s="42" t="s">
        <v>1275</v>
      </c>
    </row>
    <row r="10" spans="1:5" x14ac:dyDescent="0.15">
      <c r="A10" s="38" t="s">
        <v>1166</v>
      </c>
      <c r="B10" s="42" t="s">
        <v>1276</v>
      </c>
    </row>
    <row r="11" spans="1:5" ht="15" x14ac:dyDescent="0.2">
      <c r="A11" s="38" t="s">
        <v>1167</v>
      </c>
      <c r="B11" s="42" t="s">
        <v>1277</v>
      </c>
      <c r="E11"/>
    </row>
    <row r="12" spans="1:5" ht="15" x14ac:dyDescent="0.2">
      <c r="A12" s="38" t="s">
        <v>1168</v>
      </c>
      <c r="B12" s="42" t="s">
        <v>1278</v>
      </c>
      <c r="E12"/>
    </row>
    <row r="13" spans="1:5" ht="15" x14ac:dyDescent="0.2">
      <c r="A13" s="38" t="s">
        <v>1169</v>
      </c>
      <c r="B13" s="43" t="s">
        <v>1279</v>
      </c>
      <c r="E13"/>
    </row>
    <row r="14" spans="1:5" ht="15" x14ac:dyDescent="0.2">
      <c r="A14" s="38" t="s">
        <v>1170</v>
      </c>
      <c r="B14" s="42" t="s">
        <v>1280</v>
      </c>
      <c r="E14"/>
    </row>
    <row r="15" spans="1:5" ht="15" x14ac:dyDescent="0.2">
      <c r="A15" s="38" t="s">
        <v>1171</v>
      </c>
      <c r="B15" s="38" t="s">
        <v>1281</v>
      </c>
      <c r="E15"/>
    </row>
    <row r="16" spans="1:5" ht="15" x14ac:dyDescent="0.2">
      <c r="A16" s="38" t="s">
        <v>1172</v>
      </c>
      <c r="B16" s="38" t="s">
        <v>1282</v>
      </c>
      <c r="E16"/>
    </row>
    <row r="17" spans="1:5" ht="15" x14ac:dyDescent="0.2">
      <c r="A17" s="38" t="s">
        <v>1173</v>
      </c>
      <c r="B17" s="38" t="s">
        <v>1283</v>
      </c>
      <c r="E17"/>
    </row>
    <row r="18" spans="1:5" ht="15" x14ac:dyDescent="0.2">
      <c r="A18" s="38" t="s">
        <v>1174</v>
      </c>
      <c r="B18" s="38" t="s">
        <v>1284</v>
      </c>
      <c r="E18"/>
    </row>
    <row r="19" spans="1:5" ht="15" x14ac:dyDescent="0.2">
      <c r="A19" s="38" t="s">
        <v>1175</v>
      </c>
      <c r="B19" s="38" t="s">
        <v>1285</v>
      </c>
      <c r="E19"/>
    </row>
    <row r="20" spans="1:5" x14ac:dyDescent="0.15">
      <c r="A20" s="38" t="s">
        <v>1176</v>
      </c>
      <c r="B20" s="38" t="s">
        <v>1286</v>
      </c>
    </row>
    <row r="21" spans="1:5" x14ac:dyDescent="0.15">
      <c r="A21" s="38" t="s">
        <v>1177</v>
      </c>
      <c r="B21" s="38" t="s">
        <v>1287</v>
      </c>
    </row>
    <row r="22" spans="1:5" x14ac:dyDescent="0.15">
      <c r="A22" s="38" t="s">
        <v>1178</v>
      </c>
      <c r="B22" s="38" t="s">
        <v>1288</v>
      </c>
    </row>
    <row r="23" spans="1:5" x14ac:dyDescent="0.15">
      <c r="A23" s="38" t="s">
        <v>1179</v>
      </c>
      <c r="B23" s="38" t="s">
        <v>1289</v>
      </c>
    </row>
    <row r="24" spans="1:5" x14ac:dyDescent="0.15">
      <c r="A24" s="38" t="s">
        <v>1180</v>
      </c>
      <c r="B24" s="38" t="s">
        <v>1290</v>
      </c>
    </row>
    <row r="25" spans="1:5" x14ac:dyDescent="0.15">
      <c r="A25" s="38" t="s">
        <v>1181</v>
      </c>
      <c r="B25" s="38" t="s">
        <v>1291</v>
      </c>
    </row>
    <row r="26" spans="1:5" x14ac:dyDescent="0.15">
      <c r="A26" s="38" t="s">
        <v>1182</v>
      </c>
      <c r="B26" s="38" t="s">
        <v>1292</v>
      </c>
    </row>
    <row r="27" spans="1:5" x14ac:dyDescent="0.15">
      <c r="A27" s="38" t="s">
        <v>1183</v>
      </c>
      <c r="B27" s="38" t="s">
        <v>1293</v>
      </c>
    </row>
    <row r="28" spans="1:5" x14ac:dyDescent="0.15">
      <c r="A28" s="38" t="s">
        <v>1184</v>
      </c>
      <c r="B28" s="38" t="s">
        <v>1294</v>
      </c>
    </row>
    <row r="29" spans="1:5" x14ac:dyDescent="0.15">
      <c r="A29" s="38" t="s">
        <v>1185</v>
      </c>
      <c r="B29" s="38" t="s">
        <v>1295</v>
      </c>
    </row>
    <row r="30" spans="1:5" x14ac:dyDescent="0.15">
      <c r="A30" s="38" t="s">
        <v>1186</v>
      </c>
      <c r="B30" s="38" t="s">
        <v>1296</v>
      </c>
    </row>
    <row r="31" spans="1:5" x14ac:dyDescent="0.15">
      <c r="A31" s="38" t="s">
        <v>1187</v>
      </c>
      <c r="B31" s="42" t="s">
        <v>1297</v>
      </c>
    </row>
    <row r="32" spans="1:5" x14ac:dyDescent="0.15">
      <c r="A32" s="38" t="s">
        <v>1298</v>
      </c>
      <c r="B32" s="42" t="s">
        <v>1299</v>
      </c>
    </row>
    <row r="33" spans="1:2" x14ac:dyDescent="0.15">
      <c r="A33" s="38" t="s">
        <v>1188</v>
      </c>
      <c r="B33" s="42" t="s">
        <v>1300</v>
      </c>
    </row>
    <row r="34" spans="1:2" x14ac:dyDescent="0.15">
      <c r="A34" s="38" t="s">
        <v>1189</v>
      </c>
      <c r="B34" s="42" t="s">
        <v>1190</v>
      </c>
    </row>
    <row r="35" spans="1:2" x14ac:dyDescent="0.15">
      <c r="A35" s="38" t="s">
        <v>1191</v>
      </c>
      <c r="B35" s="42" t="s">
        <v>1301</v>
      </c>
    </row>
    <row r="36" spans="1:2" x14ac:dyDescent="0.15">
      <c r="A36" s="38" t="s">
        <v>1192</v>
      </c>
      <c r="B36" s="42" t="s">
        <v>1302</v>
      </c>
    </row>
    <row r="37" spans="1:2" x14ac:dyDescent="0.15">
      <c r="A37" s="38" t="s">
        <v>1193</v>
      </c>
      <c r="B37" s="42" t="s">
        <v>1303</v>
      </c>
    </row>
    <row r="38" spans="1:2" x14ac:dyDescent="0.15">
      <c r="A38" s="38" t="s">
        <v>1194</v>
      </c>
      <c r="B38" s="42" t="s">
        <v>1304</v>
      </c>
    </row>
    <row r="39" spans="1:2" x14ac:dyDescent="0.15">
      <c r="A39" s="38" t="s">
        <v>1195</v>
      </c>
      <c r="B39" s="42" t="s">
        <v>1305</v>
      </c>
    </row>
    <row r="40" spans="1:2" x14ac:dyDescent="0.15">
      <c r="A40" s="38" t="s">
        <v>1306</v>
      </c>
      <c r="B40" s="42" t="s">
        <v>1307</v>
      </c>
    </row>
    <row r="41" spans="1:2" x14ac:dyDescent="0.15">
      <c r="A41" s="38" t="s">
        <v>1196</v>
      </c>
      <c r="B41" s="43" t="s">
        <v>1308</v>
      </c>
    </row>
    <row r="42" spans="1:2" x14ac:dyDescent="0.15">
      <c r="A42" s="38" t="s">
        <v>1197</v>
      </c>
      <c r="B42" s="42" t="s">
        <v>1309</v>
      </c>
    </row>
    <row r="43" spans="1:2" x14ac:dyDescent="0.15">
      <c r="A43" s="38" t="s">
        <v>1198</v>
      </c>
      <c r="B43" s="42" t="s">
        <v>1310</v>
      </c>
    </row>
    <row r="44" spans="1:2" x14ac:dyDescent="0.15">
      <c r="A44" s="38" t="s">
        <v>1199</v>
      </c>
      <c r="B44" s="42" t="s">
        <v>1311</v>
      </c>
    </row>
    <row r="45" spans="1:2" x14ac:dyDescent="0.15">
      <c r="A45" s="38" t="s">
        <v>1200</v>
      </c>
      <c r="B45" s="38" t="s">
        <v>1312</v>
      </c>
    </row>
    <row r="46" spans="1:2" x14ac:dyDescent="0.15">
      <c r="A46" s="38" t="s">
        <v>1201</v>
      </c>
      <c r="B46" s="38" t="s">
        <v>1313</v>
      </c>
    </row>
    <row r="47" spans="1:2" x14ac:dyDescent="0.15">
      <c r="A47" s="38" t="s">
        <v>1202</v>
      </c>
      <c r="B47" s="42" t="s">
        <v>1314</v>
      </c>
    </row>
    <row r="48" spans="1:2" x14ac:dyDescent="0.15">
      <c r="A48" s="38" t="s">
        <v>1203</v>
      </c>
      <c r="B48" s="42" t="s">
        <v>1315</v>
      </c>
    </row>
    <row r="49" spans="1:2" x14ac:dyDescent="0.15">
      <c r="A49" s="38" t="s">
        <v>1204</v>
      </c>
      <c r="B49" s="42" t="s">
        <v>1316</v>
      </c>
    </row>
    <row r="50" spans="1:2" x14ac:dyDescent="0.15">
      <c r="A50" s="38" t="s">
        <v>1205</v>
      </c>
      <c r="B50" s="42" t="s">
        <v>1317</v>
      </c>
    </row>
    <row r="51" spans="1:2" x14ac:dyDescent="0.15">
      <c r="A51" s="38" t="s">
        <v>1206</v>
      </c>
      <c r="B51" s="42" t="s">
        <v>1318</v>
      </c>
    </row>
    <row r="52" spans="1:2" x14ac:dyDescent="0.15">
      <c r="A52" s="38" t="s">
        <v>1207</v>
      </c>
      <c r="B52" s="38" t="s">
        <v>1319</v>
      </c>
    </row>
    <row r="53" spans="1:2" x14ac:dyDescent="0.15">
      <c r="A53" s="38" t="s">
        <v>1208</v>
      </c>
      <c r="B53" s="42" t="s">
        <v>1320</v>
      </c>
    </row>
    <row r="54" spans="1:2" x14ac:dyDescent="0.15">
      <c r="A54" s="38" t="s">
        <v>1209</v>
      </c>
      <c r="B54" s="42" t="s">
        <v>1321</v>
      </c>
    </row>
    <row r="55" spans="1:2" x14ac:dyDescent="0.15">
      <c r="A55" s="38" t="s">
        <v>1322</v>
      </c>
      <c r="B55" s="42" t="s">
        <v>1323</v>
      </c>
    </row>
    <row r="56" spans="1:2" x14ac:dyDescent="0.15">
      <c r="A56" s="38" t="s">
        <v>1210</v>
      </c>
      <c r="B56" s="38" t="s">
        <v>1324</v>
      </c>
    </row>
    <row r="57" spans="1:2" x14ac:dyDescent="0.15">
      <c r="A57" s="38" t="s">
        <v>1211</v>
      </c>
      <c r="B57" s="38" t="s">
        <v>1325</v>
      </c>
    </row>
    <row r="58" spans="1:2" x14ac:dyDescent="0.15">
      <c r="A58" s="38" t="s">
        <v>1326</v>
      </c>
      <c r="B58" s="38" t="s">
        <v>1327</v>
      </c>
    </row>
    <row r="59" spans="1:2" x14ac:dyDescent="0.15">
      <c r="A59" s="38" t="s">
        <v>1328</v>
      </c>
      <c r="B59" s="38" t="s">
        <v>1329</v>
      </c>
    </row>
    <row r="60" spans="1:2" x14ac:dyDescent="0.15">
      <c r="A60" s="38" t="s">
        <v>1212</v>
      </c>
      <c r="B60" s="38" t="s">
        <v>1330</v>
      </c>
    </row>
    <row r="61" spans="1:2" x14ac:dyDescent="0.15">
      <c r="A61" s="38" t="s">
        <v>1213</v>
      </c>
      <c r="B61" s="38" t="s">
        <v>1331</v>
      </c>
    </row>
    <row r="62" spans="1:2" x14ac:dyDescent="0.15">
      <c r="A62" s="38" t="s">
        <v>1214</v>
      </c>
      <c r="B62" s="38" t="s">
        <v>1332</v>
      </c>
    </row>
    <row r="63" spans="1:2" x14ac:dyDescent="0.15">
      <c r="A63" s="38" t="s">
        <v>1333</v>
      </c>
      <c r="B63" s="38" t="s">
        <v>1334</v>
      </c>
    </row>
    <row r="64" spans="1:2" x14ac:dyDescent="0.15">
      <c r="A64" s="38" t="s">
        <v>1215</v>
      </c>
      <c r="B64" s="42" t="s">
        <v>1335</v>
      </c>
    </row>
    <row r="65" spans="1:2" x14ac:dyDescent="0.15">
      <c r="A65" s="38" t="s">
        <v>1216</v>
      </c>
      <c r="B65" s="38" t="s">
        <v>1336</v>
      </c>
    </row>
    <row r="66" spans="1:2" x14ac:dyDescent="0.15">
      <c r="A66" s="38" t="s">
        <v>1217</v>
      </c>
      <c r="B66" s="42" t="s">
        <v>1337</v>
      </c>
    </row>
    <row r="67" spans="1:2" x14ac:dyDescent="0.15">
      <c r="A67" s="38" t="s">
        <v>1218</v>
      </c>
      <c r="B67" s="42" t="s">
        <v>1338</v>
      </c>
    </row>
    <row r="68" spans="1:2" x14ac:dyDescent="0.15">
      <c r="A68" s="38" t="s">
        <v>1219</v>
      </c>
      <c r="B68" s="42" t="s">
        <v>1339</v>
      </c>
    </row>
    <row r="69" spans="1:2" x14ac:dyDescent="0.15">
      <c r="A69" s="38" t="s">
        <v>1220</v>
      </c>
      <c r="B69" s="38" t="s">
        <v>1340</v>
      </c>
    </row>
  </sheetData>
  <pageMargins left="0.7" right="0.7" top="0.75" bottom="0.75" header="0.3" footer="0.3"/>
  <pageSetup orientation="portrait" horizontalDpi="240" verticalDpi="24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AA0B-29A4-418A-8D48-38CC7FA1CB87}">
  <sheetPr codeName="Sheet18">
    <tabColor theme="5" tint="0.39997558519241921"/>
  </sheetPr>
  <dimension ref="A1:B7"/>
  <sheetViews>
    <sheetView zoomScale="150" zoomScaleNormal="150" workbookViewId="0"/>
  </sheetViews>
  <sheetFormatPr baseColWidth="10" defaultColWidth="8.83203125" defaultRowHeight="15" x14ac:dyDescent="0.2"/>
  <cols>
    <col min="1" max="1" width="25.5" bestFit="1" customWidth="1"/>
    <col min="2" max="2" width="40.1640625" customWidth="1"/>
  </cols>
  <sheetData>
    <row r="1" spans="1:2" ht="19" thickBot="1" x14ac:dyDescent="0.25">
      <c r="A1" s="14" t="s">
        <v>1257</v>
      </c>
      <c r="B1" s="45" t="s">
        <v>220</v>
      </c>
    </row>
    <row r="2" spans="1:2" x14ac:dyDescent="0.2">
      <c r="A2" s="25" t="s">
        <v>1258</v>
      </c>
      <c r="B2" s="21" t="s">
        <v>1259</v>
      </c>
    </row>
    <row r="3" spans="1:2" x14ac:dyDescent="0.2">
      <c r="A3" s="25" t="s">
        <v>1260</v>
      </c>
      <c r="B3" s="21" t="s">
        <v>1261</v>
      </c>
    </row>
    <row r="4" spans="1:2" x14ac:dyDescent="0.2">
      <c r="A4" s="25" t="s">
        <v>1262</v>
      </c>
      <c r="B4" s="21" t="s">
        <v>1263</v>
      </c>
    </row>
    <row r="5" spans="1:2" x14ac:dyDescent="0.2">
      <c r="A5" s="25" t="s">
        <v>1264</v>
      </c>
      <c r="B5" s="21" t="s">
        <v>1265</v>
      </c>
    </row>
    <row r="6" spans="1:2" x14ac:dyDescent="0.2">
      <c r="A6" s="25" t="s">
        <v>1266</v>
      </c>
      <c r="B6" s="21" t="s">
        <v>1267</v>
      </c>
    </row>
    <row r="7" spans="1:2" ht="16" thickBot="1" x14ac:dyDescent="0.25">
      <c r="A7" s="26" t="s">
        <v>1268</v>
      </c>
      <c r="B7" s="23" t="s">
        <v>1269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C696-B638-4C4F-8185-E3148B6D54CC}">
  <sheetPr codeName="Sheet20">
    <tabColor theme="5" tint="0.39997558519241921"/>
  </sheetPr>
  <dimension ref="A1:B12"/>
  <sheetViews>
    <sheetView zoomScale="150" zoomScaleNormal="150" workbookViewId="0"/>
  </sheetViews>
  <sheetFormatPr baseColWidth="10" defaultColWidth="8.83203125" defaultRowHeight="15" x14ac:dyDescent="0.2"/>
  <cols>
    <col min="1" max="1" width="12" bestFit="1" customWidth="1"/>
    <col min="2" max="2" width="40.83203125" customWidth="1"/>
  </cols>
  <sheetData>
    <row r="1" spans="1:2" ht="19" thickBot="1" x14ac:dyDescent="0.25">
      <c r="A1" s="14" t="s">
        <v>1234</v>
      </c>
      <c r="B1" s="45" t="s">
        <v>220</v>
      </c>
    </row>
    <row r="2" spans="1:2" x14ac:dyDescent="0.2">
      <c r="A2" s="25" t="s">
        <v>1235</v>
      </c>
      <c r="B2" s="21" t="s">
        <v>1236</v>
      </c>
    </row>
    <row r="3" spans="1:2" x14ac:dyDescent="0.2">
      <c r="A3" s="25" t="s">
        <v>1237</v>
      </c>
      <c r="B3" s="21" t="s">
        <v>1238</v>
      </c>
    </row>
    <row r="4" spans="1:2" x14ac:dyDescent="0.2">
      <c r="A4" s="25" t="s">
        <v>1239</v>
      </c>
      <c r="B4" s="21" t="s">
        <v>1240</v>
      </c>
    </row>
    <row r="5" spans="1:2" x14ac:dyDescent="0.2">
      <c r="A5" s="25" t="s">
        <v>1241</v>
      </c>
      <c r="B5" s="21" t="s">
        <v>1242</v>
      </c>
    </row>
    <row r="6" spans="1:2" x14ac:dyDescent="0.2">
      <c r="A6" s="25" t="s">
        <v>1243</v>
      </c>
      <c r="B6" s="21" t="s">
        <v>1244</v>
      </c>
    </row>
    <row r="7" spans="1:2" x14ac:dyDescent="0.2">
      <c r="A7" s="25" t="s">
        <v>1245</v>
      </c>
      <c r="B7" s="21" t="s">
        <v>1246</v>
      </c>
    </row>
    <row r="8" spans="1:2" x14ac:dyDescent="0.2">
      <c r="A8" s="25" t="s">
        <v>1247</v>
      </c>
      <c r="B8" s="21" t="s">
        <v>1248</v>
      </c>
    </row>
    <row r="9" spans="1:2" x14ac:dyDescent="0.2">
      <c r="A9" s="25" t="s">
        <v>1249</v>
      </c>
      <c r="B9" s="21" t="s">
        <v>1250</v>
      </c>
    </row>
    <row r="10" spans="1:2" x14ac:dyDescent="0.2">
      <c r="A10" s="25" t="s">
        <v>1251</v>
      </c>
      <c r="B10" s="21" t="s">
        <v>1252</v>
      </c>
    </row>
    <row r="11" spans="1:2" x14ac:dyDescent="0.2">
      <c r="A11" s="25" t="s">
        <v>1253</v>
      </c>
      <c r="B11" s="21" t="s">
        <v>1254</v>
      </c>
    </row>
    <row r="12" spans="1:2" ht="16" thickBot="1" x14ac:dyDescent="0.25">
      <c r="A12" s="26" t="s">
        <v>1255</v>
      </c>
      <c r="B12" s="23" t="s">
        <v>1256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C049-B557-4CE0-8705-30581BAF3A4A}">
  <sheetPr codeName="Sheet21">
    <tabColor theme="5" tint="0.39997558519241921"/>
  </sheetPr>
  <dimension ref="A1:B10"/>
  <sheetViews>
    <sheetView zoomScaleNormal="100" workbookViewId="0">
      <selection sqref="A1:B2"/>
    </sheetView>
  </sheetViews>
  <sheetFormatPr baseColWidth="10" defaultColWidth="8.83203125" defaultRowHeight="15" x14ac:dyDescent="0.2"/>
  <cols>
    <col min="1" max="1" width="19.83203125" bestFit="1" customWidth="1"/>
    <col min="2" max="2" width="101.6640625" bestFit="1" customWidth="1"/>
  </cols>
  <sheetData>
    <row r="1" spans="1:2" ht="19" thickBot="1" x14ac:dyDescent="0.25">
      <c r="A1" s="14" t="s">
        <v>1222</v>
      </c>
      <c r="B1" s="45" t="s">
        <v>220</v>
      </c>
    </row>
    <row r="2" spans="1:2" x14ac:dyDescent="0.2">
      <c r="A2" s="25" t="s">
        <v>1223</v>
      </c>
      <c r="B2" s="21" t="s">
        <v>1350</v>
      </c>
    </row>
    <row r="3" spans="1:2" x14ac:dyDescent="0.2">
      <c r="A3" s="25" t="s">
        <v>1224</v>
      </c>
      <c r="B3" s="21" t="s">
        <v>1348</v>
      </c>
    </row>
    <row r="4" spans="1:2" x14ac:dyDescent="0.2">
      <c r="A4" s="25" t="s">
        <v>1225</v>
      </c>
      <c r="B4" s="21" t="s">
        <v>1221</v>
      </c>
    </row>
    <row r="5" spans="1:2" x14ac:dyDescent="0.2">
      <c r="A5" s="25" t="s">
        <v>1226</v>
      </c>
      <c r="B5" s="21" t="s">
        <v>1349</v>
      </c>
    </row>
    <row r="6" spans="1:2" x14ac:dyDescent="0.2">
      <c r="A6" s="25" t="s">
        <v>1227</v>
      </c>
      <c r="B6" s="21" t="s">
        <v>1351</v>
      </c>
    </row>
    <row r="7" spans="1:2" x14ac:dyDescent="0.2">
      <c r="A7" s="25" t="s">
        <v>1228</v>
      </c>
      <c r="B7" s="21" t="s">
        <v>1352</v>
      </c>
    </row>
    <row r="8" spans="1:2" x14ac:dyDescent="0.2">
      <c r="A8" s="25" t="s">
        <v>1229</v>
      </c>
      <c r="B8" s="21" t="s">
        <v>1353</v>
      </c>
    </row>
    <row r="9" spans="1:2" x14ac:dyDescent="0.2">
      <c r="A9" s="25" t="s">
        <v>1230</v>
      </c>
      <c r="B9" s="21" t="s">
        <v>1231</v>
      </c>
    </row>
    <row r="10" spans="1:2" ht="16" thickBot="1" x14ac:dyDescent="0.25">
      <c r="A10" s="26" t="s">
        <v>1232</v>
      </c>
      <c r="B10" s="23" t="s">
        <v>1233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E2BF-4E87-8C4B-8BBD-317DD0957916}">
  <sheetPr>
    <tabColor rgb="FF002060"/>
  </sheetPr>
  <dimension ref="A1:F15"/>
  <sheetViews>
    <sheetView workbookViewId="0">
      <selection activeCell="E4" sqref="E4"/>
    </sheetView>
  </sheetViews>
  <sheetFormatPr baseColWidth="10" defaultRowHeight="15" x14ac:dyDescent="0.2"/>
  <cols>
    <col min="1" max="1" width="13.5" style="67" customWidth="1"/>
    <col min="2" max="2" width="29.83203125" style="67" bestFit="1" customWidth="1"/>
    <col min="3" max="3" width="80.1640625" style="67" customWidth="1"/>
    <col min="4" max="16384" width="10.83203125" style="70"/>
  </cols>
  <sheetData>
    <row r="1" spans="1:6" x14ac:dyDescent="0.2">
      <c r="A1" s="68" t="s">
        <v>2322</v>
      </c>
      <c r="B1" s="68" t="s">
        <v>220</v>
      </c>
      <c r="C1" s="69" t="s">
        <v>2311</v>
      </c>
    </row>
    <row r="2" spans="1:6" ht="48" x14ac:dyDescent="0.2">
      <c r="A2" s="71" t="s">
        <v>2323</v>
      </c>
      <c r="B2" s="72" t="s">
        <v>2330</v>
      </c>
      <c r="C2" s="73" t="s">
        <v>2331</v>
      </c>
    </row>
    <row r="3" spans="1:6" ht="64" x14ac:dyDescent="0.2">
      <c r="A3" s="71" t="s">
        <v>2324</v>
      </c>
      <c r="B3" s="72" t="s">
        <v>2333</v>
      </c>
      <c r="C3" s="73" t="s">
        <v>2332</v>
      </c>
    </row>
    <row r="4" spans="1:6" ht="64" x14ac:dyDescent="0.2">
      <c r="A4" s="71" t="s">
        <v>2325</v>
      </c>
      <c r="B4" s="72" t="s">
        <v>2334</v>
      </c>
      <c r="C4" s="73" t="s">
        <v>2335</v>
      </c>
    </row>
    <row r="5" spans="1:6" ht="16" x14ac:dyDescent="0.2">
      <c r="A5" s="71" t="s">
        <v>2326</v>
      </c>
      <c r="B5" s="72" t="s">
        <v>2336</v>
      </c>
      <c r="C5" s="73" t="s">
        <v>2337</v>
      </c>
    </row>
    <row r="6" spans="1:6" ht="16" x14ac:dyDescent="0.2">
      <c r="A6" s="71" t="s">
        <v>2327</v>
      </c>
      <c r="B6" s="72" t="s">
        <v>2338</v>
      </c>
      <c r="C6" s="73" t="s">
        <v>2339</v>
      </c>
    </row>
    <row r="7" spans="1:6" ht="16" x14ac:dyDescent="0.2">
      <c r="A7" s="71" t="s">
        <v>2328</v>
      </c>
      <c r="B7" s="72" t="s">
        <v>2341</v>
      </c>
      <c r="C7" s="73" t="s">
        <v>2340</v>
      </c>
      <c r="F7" s="74"/>
    </row>
    <row r="8" spans="1:6" ht="48" x14ac:dyDescent="0.2">
      <c r="A8" s="71" t="s">
        <v>2329</v>
      </c>
      <c r="B8" s="72" t="s">
        <v>2342</v>
      </c>
      <c r="C8" s="73" t="s">
        <v>2343</v>
      </c>
    </row>
    <row r="9" spans="1:6" ht="16" x14ac:dyDescent="0.2">
      <c r="F9" s="74"/>
    </row>
    <row r="11" spans="1:6" ht="16" x14ac:dyDescent="0.2">
      <c r="F11" s="74"/>
    </row>
    <row r="15" spans="1:6" ht="16" x14ac:dyDescent="0.2">
      <c r="F15" s="7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80F79-ACE4-CF41-AC9E-55C03D3F9E4B}">
  <sheetPr>
    <tabColor theme="8" tint="-0.499984740745262"/>
  </sheetPr>
  <dimension ref="A1:J13"/>
  <sheetViews>
    <sheetView workbookViewId="0">
      <selection activeCell="B1" sqref="B1:C13"/>
    </sheetView>
  </sheetViews>
  <sheetFormatPr baseColWidth="10" defaultRowHeight="15" x14ac:dyDescent="0.2"/>
  <cols>
    <col min="1" max="1" width="17.5" bestFit="1" customWidth="1"/>
    <col min="2" max="2" width="17" customWidth="1"/>
    <col min="3" max="3" width="44.5" customWidth="1"/>
  </cols>
  <sheetData>
    <row r="1" spans="1:10" x14ac:dyDescent="0.2">
      <c r="A1" s="65" t="s">
        <v>220</v>
      </c>
      <c r="B1" s="65" t="s">
        <v>1155</v>
      </c>
      <c r="C1" s="65" t="s">
        <v>2311</v>
      </c>
    </row>
    <row r="2" spans="1:10" x14ac:dyDescent="0.2">
      <c r="A2" s="64" t="s">
        <v>2312</v>
      </c>
      <c r="B2" s="66" t="s">
        <v>2313</v>
      </c>
      <c r="C2" s="64"/>
    </row>
    <row r="3" spans="1:10" x14ac:dyDescent="0.2">
      <c r="A3" s="64" t="s">
        <v>2314</v>
      </c>
      <c r="B3" s="66" t="s">
        <v>2315</v>
      </c>
      <c r="C3" s="64"/>
    </row>
    <row r="4" spans="1:10" x14ac:dyDescent="0.2">
      <c r="A4" s="64" t="s">
        <v>2316</v>
      </c>
      <c r="B4" s="66" t="s">
        <v>2317</v>
      </c>
      <c r="C4" s="64"/>
    </row>
    <row r="5" spans="1:10" x14ac:dyDescent="0.2">
      <c r="A5" s="64" t="s">
        <v>2318</v>
      </c>
      <c r="B5" s="66" t="s">
        <v>2319</v>
      </c>
      <c r="C5" s="64"/>
    </row>
    <row r="6" spans="1:10" x14ac:dyDescent="0.2">
      <c r="A6" s="64" t="s">
        <v>2321</v>
      </c>
      <c r="B6" s="66" t="s">
        <v>2320</v>
      </c>
      <c r="C6" s="64"/>
    </row>
    <row r="7" spans="1:10" x14ac:dyDescent="0.2">
      <c r="A7" s="64"/>
      <c r="B7" s="66"/>
      <c r="C7" s="64"/>
    </row>
    <row r="8" spans="1:10" x14ac:dyDescent="0.2">
      <c r="A8" s="64"/>
      <c r="B8" s="66"/>
      <c r="C8" s="64"/>
      <c r="J8" s="63"/>
    </row>
    <row r="9" spans="1:10" x14ac:dyDescent="0.2">
      <c r="A9" s="64"/>
      <c r="B9" s="66"/>
      <c r="C9" s="64"/>
      <c r="J9" s="63"/>
    </row>
    <row r="10" spans="1:10" x14ac:dyDescent="0.2">
      <c r="A10" s="64"/>
      <c r="B10" s="66"/>
      <c r="C10" s="64"/>
    </row>
    <row r="11" spans="1:10" x14ac:dyDescent="0.2">
      <c r="A11" s="64"/>
      <c r="B11" s="66"/>
      <c r="C11" s="64"/>
    </row>
    <row r="12" spans="1:10" x14ac:dyDescent="0.2">
      <c r="A12" s="64"/>
      <c r="B12" s="66"/>
      <c r="C12" s="64"/>
    </row>
    <row r="13" spans="1:10" x14ac:dyDescent="0.2">
      <c r="A13" s="64"/>
      <c r="B13" s="66"/>
      <c r="C13" s="64"/>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1FE8A-91B4-B64B-916D-3A36CC1DC49D}">
  <dimension ref="A1:B27"/>
  <sheetViews>
    <sheetView workbookViewId="0">
      <selection activeCell="B23" sqref="B23"/>
    </sheetView>
  </sheetViews>
  <sheetFormatPr baseColWidth="10" defaultRowHeight="15" x14ac:dyDescent="0.2"/>
  <cols>
    <col min="1" max="1" width="30.5" bestFit="1" customWidth="1"/>
    <col min="2" max="2" width="25.6640625" bestFit="1" customWidth="1"/>
  </cols>
  <sheetData>
    <row r="1" spans="1:2" x14ac:dyDescent="0.2">
      <c r="A1" s="65" t="s">
        <v>1155</v>
      </c>
      <c r="B1" s="65" t="s">
        <v>2311</v>
      </c>
    </row>
    <row r="2" spans="1:2" x14ac:dyDescent="0.2">
      <c r="A2" s="66" t="s">
        <v>2386</v>
      </c>
      <c r="B2" s="66" t="s">
        <v>2387</v>
      </c>
    </row>
    <row r="3" spans="1:2" x14ac:dyDescent="0.2">
      <c r="A3" s="66" t="s">
        <v>2344</v>
      </c>
      <c r="B3" s="66" t="s">
        <v>2345</v>
      </c>
    </row>
    <row r="4" spans="1:2" x14ac:dyDescent="0.2">
      <c r="A4" s="66" t="s">
        <v>2346</v>
      </c>
      <c r="B4" s="66" t="s">
        <v>2347</v>
      </c>
    </row>
    <row r="5" spans="1:2" x14ac:dyDescent="0.2">
      <c r="A5" s="66" t="s">
        <v>2348</v>
      </c>
      <c r="B5" s="66" t="s">
        <v>2349</v>
      </c>
    </row>
    <row r="6" spans="1:2" x14ac:dyDescent="0.2">
      <c r="A6" s="66" t="s">
        <v>2348</v>
      </c>
      <c r="B6" s="66" t="s">
        <v>2384</v>
      </c>
    </row>
    <row r="7" spans="1:2" x14ac:dyDescent="0.2">
      <c r="A7" s="66" t="s">
        <v>2350</v>
      </c>
      <c r="B7" s="66" t="s">
        <v>2351</v>
      </c>
    </row>
    <row r="8" spans="1:2" x14ac:dyDescent="0.2">
      <c r="A8" s="66" t="s">
        <v>2350</v>
      </c>
      <c r="B8" s="66" t="s">
        <v>2381</v>
      </c>
    </row>
    <row r="9" spans="1:2" x14ac:dyDescent="0.2">
      <c r="A9" s="66" t="s">
        <v>2352</v>
      </c>
      <c r="B9" s="66" t="s">
        <v>2353</v>
      </c>
    </row>
    <row r="10" spans="1:2" x14ac:dyDescent="0.2">
      <c r="A10" s="66" t="s">
        <v>2354</v>
      </c>
      <c r="B10" s="66" t="s">
        <v>2355</v>
      </c>
    </row>
    <row r="11" spans="1:2" x14ac:dyDescent="0.2">
      <c r="A11" s="66" t="s">
        <v>2354</v>
      </c>
      <c r="B11" s="66" t="s">
        <v>2385</v>
      </c>
    </row>
    <row r="12" spans="1:2" x14ac:dyDescent="0.2">
      <c r="A12" s="66" t="s">
        <v>2356</v>
      </c>
      <c r="B12" s="66" t="s">
        <v>2357</v>
      </c>
    </row>
    <row r="13" spans="1:2" x14ac:dyDescent="0.2">
      <c r="A13" s="66" t="s">
        <v>2358</v>
      </c>
      <c r="B13" s="66" t="s">
        <v>2359</v>
      </c>
    </row>
    <row r="14" spans="1:2" x14ac:dyDescent="0.2">
      <c r="A14" s="66" t="s">
        <v>2358</v>
      </c>
      <c r="B14" s="66" t="s">
        <v>2380</v>
      </c>
    </row>
    <row r="15" spans="1:2" x14ac:dyDescent="0.2">
      <c r="A15" s="66" t="s">
        <v>2360</v>
      </c>
      <c r="B15" s="66" t="s">
        <v>2361</v>
      </c>
    </row>
    <row r="16" spans="1:2" x14ac:dyDescent="0.2">
      <c r="A16" s="66" t="s">
        <v>2362</v>
      </c>
      <c r="B16" s="66" t="s">
        <v>2363</v>
      </c>
    </row>
    <row r="17" spans="1:2" x14ac:dyDescent="0.2">
      <c r="A17" s="66" t="s">
        <v>2362</v>
      </c>
      <c r="B17" s="66" t="s">
        <v>2383</v>
      </c>
    </row>
    <row r="18" spans="1:2" x14ac:dyDescent="0.2">
      <c r="A18" s="66" t="s">
        <v>2364</v>
      </c>
      <c r="B18" s="66" t="s">
        <v>2365</v>
      </c>
    </row>
    <row r="19" spans="1:2" x14ac:dyDescent="0.2">
      <c r="A19" s="66" t="s">
        <v>2364</v>
      </c>
      <c r="B19" s="66" t="s">
        <v>2388</v>
      </c>
    </row>
    <row r="20" spans="1:2" x14ac:dyDescent="0.2">
      <c r="A20" s="66" t="s">
        <v>2366</v>
      </c>
      <c r="B20" s="66" t="s">
        <v>2367</v>
      </c>
    </row>
    <row r="21" spans="1:2" x14ac:dyDescent="0.2">
      <c r="A21" s="66" t="s">
        <v>2368</v>
      </c>
      <c r="B21" s="66" t="s">
        <v>2369</v>
      </c>
    </row>
    <row r="22" spans="1:2" x14ac:dyDescent="0.2">
      <c r="A22" s="66" t="s">
        <v>2370</v>
      </c>
      <c r="B22" s="66" t="s">
        <v>2371</v>
      </c>
    </row>
    <row r="23" spans="1:2" x14ac:dyDescent="0.2">
      <c r="A23" s="66" t="s">
        <v>2370</v>
      </c>
      <c r="B23" s="66" t="s">
        <v>2382</v>
      </c>
    </row>
    <row r="24" spans="1:2" x14ac:dyDescent="0.2">
      <c r="A24" s="66" t="s">
        <v>2372</v>
      </c>
      <c r="B24" s="66" t="s">
        <v>2373</v>
      </c>
    </row>
    <row r="25" spans="1:2" x14ac:dyDescent="0.2">
      <c r="A25" s="66" t="s">
        <v>2374</v>
      </c>
      <c r="B25" s="66" t="s">
        <v>2375</v>
      </c>
    </row>
    <row r="26" spans="1:2" x14ac:dyDescent="0.2">
      <c r="A26" s="66" t="s">
        <v>2376</v>
      </c>
      <c r="B26" s="66" t="s">
        <v>2377</v>
      </c>
    </row>
    <row r="27" spans="1:2" x14ac:dyDescent="0.2">
      <c r="A27" s="66" t="s">
        <v>2378</v>
      </c>
      <c r="B27" s="66" t="s">
        <v>2379</v>
      </c>
    </row>
  </sheetData>
  <autoFilter ref="A1:B27" xr:uid="{53D1FE8A-91B4-B64B-916D-3A36CC1DC49D}">
    <sortState xmlns:xlrd2="http://schemas.microsoft.com/office/spreadsheetml/2017/richdata2" ref="A2:B27">
      <sortCondition ref="A1:A2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R0203</vt:lpstr>
      <vt:lpstr>R0304A</vt:lpstr>
      <vt:lpstr>R0304B</vt:lpstr>
      <vt:lpstr>R0404A</vt:lpstr>
      <vt:lpstr>R0406</vt:lpstr>
      <vt:lpstr>R0607</vt:lpstr>
      <vt:lpstr>R0609</vt:lpstr>
      <vt:lpstr>R0901A</vt:lpstr>
      <vt:lpstr>R0904</vt:lpstr>
      <vt:lpstr>Transaction History_new</vt:lpstr>
      <vt:lpstr>Contract Summary</vt:lpstr>
      <vt:lpstr>Asset Summary</vt:lpstr>
      <vt:lpstr>Bank Codes</vt:lpstr>
      <vt:lpstr>Accrual Method</vt:lpstr>
      <vt:lpstr>Tran Code</vt:lpstr>
      <vt:lpstr>GL Codes_Vectors</vt:lpstr>
      <vt:lpstr>Status (LS Status)</vt:lpstr>
      <vt:lpstr>LS Type</vt:lpstr>
      <vt:lpstr>Coll Code</vt:lpstr>
      <vt:lpstr>Late Code</vt:lpstr>
      <vt:lpstr>Use Tax Code</vt:lpstr>
      <vt:lpstr>LS Source</vt:lpstr>
      <vt:lpstr>Asset Status</vt:lpstr>
      <vt:lpstr>Payoff Code</vt:lpstr>
      <vt:lpstr>Repo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Hines</dc:creator>
  <cp:lastModifiedBy>Brad Moore</cp:lastModifiedBy>
  <cp:lastPrinted>2021-04-19T21:31:19Z</cp:lastPrinted>
  <dcterms:created xsi:type="dcterms:W3CDTF">2020-08-17T23:40:12Z</dcterms:created>
  <dcterms:modified xsi:type="dcterms:W3CDTF">2026-10-05T20:44:37Z</dcterms:modified>
</cp:coreProperties>
</file>